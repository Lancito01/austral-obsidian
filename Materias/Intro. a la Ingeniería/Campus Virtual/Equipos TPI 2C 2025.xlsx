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alumniiaeedu-my.sharepoint.com/personal/mmoya_austral_edu_ar/Documents/Documents/INTRO INGENIERIA/Intro Ingenieria 2025 2do CUAT/TPI 2C 2025/"/>
    </mc:Choice>
  </mc:AlternateContent>
  <bookViews>
    <workbookView xWindow="0" yWindow="0" windowWidth="19200" windowHeight="7050"/>
  </bookViews>
  <sheets>
    <sheet name="Listado para alumnos" sheetId="4" r:id="rId1"/>
    <sheet name="Listado total" sheetId="3" r:id="rId2"/>
    <sheet name="Comision Ind" sheetId="1" r:id="rId3"/>
    <sheet name="Comisión TIC" sheetId="2" r:id="rId4"/>
  </sheets>
  <calcPr calcId="162913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2" l="1"/>
  <c r="H28" i="2" s="1"/>
  <c r="H29" i="2" s="1"/>
  <c r="H30" i="2" s="1"/>
  <c r="H31" i="2" s="1"/>
  <c r="H32" i="2" s="1"/>
  <c r="H33" i="2" s="1"/>
  <c r="H26" i="2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6" i="2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7" i="1"/>
</calcChain>
</file>

<file path=xl/sharedStrings.xml><?xml version="1.0" encoding="utf-8"?>
<sst xmlns="http://schemas.openxmlformats.org/spreadsheetml/2006/main" count="1074" uniqueCount="406">
  <si>
    <t>Legajo</t>
  </si>
  <si>
    <t>Alumno</t>
  </si>
  <si>
    <t>Estado</t>
  </si>
  <si>
    <t>Instancias</t>
  </si>
  <si>
    <t>Email</t>
  </si>
  <si>
    <t>Teléfono</t>
  </si>
  <si>
    <t>1</t>
  </si>
  <si>
    <t>Sin definir</t>
  </si>
  <si>
    <t>Aldazabal, Mateo Ignacio</t>
  </si>
  <si>
    <t>Aceptada</t>
  </si>
  <si>
    <t>Regularidad/Promoción</t>
  </si>
  <si>
    <t>Email Institucional: maldazabal@mail.austral.edu.ar</t>
  </si>
  <si>
    <t>Teléfono Celular: (011) +54-1150206481</t>
  </si>
  <si>
    <t>2</t>
  </si>
  <si>
    <t>Beumont, Mateo</t>
  </si>
  <si>
    <t>Email Institucional: mbeumont@mail.austral.edu.ar</t>
  </si>
  <si>
    <t>Teléfono Celular: (011) +54-1127137409</t>
  </si>
  <si>
    <t>3</t>
  </si>
  <si>
    <t>Burgo, Benjamin</t>
  </si>
  <si>
    <t>Email Institucional: bburgo@mail.austral.edu.ar</t>
  </si>
  <si>
    <t>Teléfono Celular: (011) +54-91128821018</t>
  </si>
  <si>
    <t>4</t>
  </si>
  <si>
    <t>Cier, Mora</t>
  </si>
  <si>
    <t>Email Institucional: mcier@mail.austral.edu.ar</t>
  </si>
  <si>
    <t>Teléfono Celular: (011) +54-91159615588</t>
  </si>
  <si>
    <t>5</t>
  </si>
  <si>
    <t>Del Pino, Valentin</t>
  </si>
  <si>
    <t>Email Institucional: vdelpino@mail.austral.edu.ar</t>
  </si>
  <si>
    <t>Teléfono Celular: (011) +54-1140504533</t>
  </si>
  <si>
    <t>6</t>
  </si>
  <si>
    <t>Deluchi, Pedro</t>
  </si>
  <si>
    <t>Email Institucional: pdeluchi@mail.austral.edu.ar</t>
  </si>
  <si>
    <t>Teléfono Celular: (011) +54-1140370112</t>
  </si>
  <si>
    <t>7</t>
  </si>
  <si>
    <t>de Salas, Camila María</t>
  </si>
  <si>
    <t>Email Institucional: cmdesalas@mail.austral.edu.ar</t>
  </si>
  <si>
    <t>Teléfono Celular: (011) +54-1130682603</t>
  </si>
  <si>
    <t>8</t>
  </si>
  <si>
    <t>Dominguez, Iñaki</t>
  </si>
  <si>
    <t>Email Institucional: idominguez2@mail.austral.edu.ar</t>
  </si>
  <si>
    <t>Teléfono Celular: (011) +54-1123212277</t>
  </si>
  <si>
    <t>9</t>
  </si>
  <si>
    <t>Domnanovich, Ignacio</t>
  </si>
  <si>
    <t>Email Institucional: idomnanovich@mail.austral.edu.ar</t>
  </si>
  <si>
    <t>Teléfono Celular: (011) +54-1136067361</t>
  </si>
  <si>
    <t>10</t>
  </si>
  <si>
    <t>Fabbro, Juan Ignacio</t>
  </si>
  <si>
    <t>Email Institucional: jfabbro@mail.austral.edu.ar</t>
  </si>
  <si>
    <t>Teléfono Celular: (011) +54-011 2396-7224</t>
  </si>
  <si>
    <t>11</t>
  </si>
  <si>
    <t>Falkenstein, Leonel</t>
  </si>
  <si>
    <t>Email Institucional: lfalkenstein@mail.austral.edu.ar</t>
  </si>
  <si>
    <t>Teléfono Celular: (011) +54-2302343480</t>
  </si>
  <si>
    <t>12</t>
  </si>
  <si>
    <t xml:space="preserve">Fernandez Garcia, Guadalupe </t>
  </si>
  <si>
    <t>Email Institucional: gfernandezgarcia@mail.austral.edu.ar</t>
  </si>
  <si>
    <t>Teléfono Celular: (011) +54-91141587078</t>
  </si>
  <si>
    <t>13</t>
  </si>
  <si>
    <t>Fernandez, Milagros</t>
  </si>
  <si>
    <t>Email Institucional: mfernandez27@mail.austral.edu.ar</t>
  </si>
  <si>
    <t>Teléfono Celular: (011) +54-91132468721</t>
  </si>
  <si>
    <t>14</t>
  </si>
  <si>
    <t>Fernández , Renata Lucía</t>
  </si>
  <si>
    <t>Email Institucional: rlfernandez@mail.austral.edu.ar</t>
  </si>
  <si>
    <t>Teléfono Celular: (011) +54-1158658547</t>
  </si>
  <si>
    <t>15</t>
  </si>
  <si>
    <t>García Lorenzi, Facundo Leon</t>
  </si>
  <si>
    <t>Email Institucional: flgarcialorenzi@mail.austral.edu.ar</t>
  </si>
  <si>
    <t>Teléfono Celular: (011) +54-1159269320</t>
  </si>
  <si>
    <t>16</t>
  </si>
  <si>
    <t>Gomez Cruz, Juan Ignacio</t>
  </si>
  <si>
    <t>Email Institucional: jigomezcruz@mail.austral.edu.ar</t>
  </si>
  <si>
    <t>Teléfono Celular: (011) +54-91133391998</t>
  </si>
  <si>
    <t>17</t>
  </si>
  <si>
    <t>Gomez Galissier, Ignacio</t>
  </si>
  <si>
    <t>Email Institucional: igomezgalissier@mail.austral.edu.ar</t>
  </si>
  <si>
    <t>Teléfono Celular: (011) +54-1140499479</t>
  </si>
  <si>
    <t>18</t>
  </si>
  <si>
    <t>Harguindeguy, Joaquin Albano</t>
  </si>
  <si>
    <t>Email Institucional: jaharguindeguy@mail.austral.edu.ar</t>
  </si>
  <si>
    <t>Teléfono Celular: (011) +54-1151243132</t>
  </si>
  <si>
    <t>19</t>
  </si>
  <si>
    <t>Laborde, Eliseo Juan</t>
  </si>
  <si>
    <t>Email Institucional: elaborde1@mail.austral.edu.ar</t>
  </si>
  <si>
    <t>Teléfono Celular: (011) +54-3583434584</t>
  </si>
  <si>
    <t>20</t>
  </si>
  <si>
    <t>Leonard, Lucas</t>
  </si>
  <si>
    <t>Email Institucional: lleonard@mail.austral.edu.ar</t>
  </si>
  <si>
    <t>Teléfono Celular: (011) +54-1130207693</t>
  </si>
  <si>
    <t>21</t>
  </si>
  <si>
    <t>Leonard, Trinidad</t>
  </si>
  <si>
    <t>Email Institucional: tleonard@mail.austral.edu.ar</t>
  </si>
  <si>
    <t>Teléfono Celular: (011) +54-1140469346</t>
  </si>
  <si>
    <t>22</t>
  </si>
  <si>
    <t>Leonov, Mateo Josue</t>
  </si>
  <si>
    <t>Email Institucional: mjleonov@mail.austral.edu.ar</t>
  </si>
  <si>
    <t>Teléfono Celular: (011) +54-2304250222</t>
  </si>
  <si>
    <t>23</t>
  </si>
  <si>
    <t>López, Juan Cruz</t>
  </si>
  <si>
    <t>Email Institucional: jclopez@mail.austral.edu.ar</t>
  </si>
  <si>
    <t>Teléfono Celular: (011) +54-1159100637</t>
  </si>
  <si>
    <t>24</t>
  </si>
  <si>
    <t>Martinez Alvarez, Santiago</t>
  </si>
  <si>
    <t>Email Institucional: smartinezalvarez@mail.austral.edu.ar</t>
  </si>
  <si>
    <t>Teléfono Celular: (011) +54-91130842007</t>
  </si>
  <si>
    <t>25</t>
  </si>
  <si>
    <t>Massuh, Lourdes</t>
  </si>
  <si>
    <t>Email Institucional: lmassuh@mail.austral.edu.ar</t>
  </si>
  <si>
    <t>Teléfono Celular: (011) +54-1158261340</t>
  </si>
  <si>
    <t>26</t>
  </si>
  <si>
    <t>Maydana, Trinidad</t>
  </si>
  <si>
    <t>Email Institucional: tmaydana@mail.austral.edu.ar</t>
  </si>
  <si>
    <t>Teléfono Celular: (011) +54-1136959037</t>
  </si>
  <si>
    <t>27</t>
  </si>
  <si>
    <t>Merhar, Benjamim</t>
  </si>
  <si>
    <t>Email Institucional: bmerhar@mail.austral.edu.ar</t>
  </si>
  <si>
    <t>Teléfono Celular: (011) +54-91138500550</t>
  </si>
  <si>
    <t>28</t>
  </si>
  <si>
    <t>Montovio , Ignacio Luca</t>
  </si>
  <si>
    <t>Email Institucional: ilmontovio@mail.austral.edu.ar</t>
  </si>
  <si>
    <t>Teléfono Celular: (011) +54-92994195957</t>
  </si>
  <si>
    <t>29</t>
  </si>
  <si>
    <t>Rossignuolo, Tiziano</t>
  </si>
  <si>
    <t>Email Institucional: trossignuolo@mail.austral.edu.ar</t>
  </si>
  <si>
    <t>Teléfono Celular: (011) +54-01130499106</t>
  </si>
  <si>
    <t>30</t>
  </si>
  <si>
    <t>Rozas, Miguel Agustin</t>
  </si>
  <si>
    <t>Email Institucional: marozas@mail.austral.edu.ar</t>
  </si>
  <si>
    <t>Teléfono Celular: (011) +54-2995171366</t>
  </si>
  <si>
    <t>31</t>
  </si>
  <si>
    <t>Santeusanio, Abril</t>
  </si>
  <si>
    <t>Email Institucional: asanteusanio@mail.austral.edu.ar</t>
  </si>
  <si>
    <t>Teléfono Celular: (011) +54-1158912389</t>
  </si>
  <si>
    <t>32</t>
  </si>
  <si>
    <t>Sfilio Glassmann, Josefina</t>
  </si>
  <si>
    <t>Email Institucional: jsfilioglassmann@mail.austral.edu.ar</t>
  </si>
  <si>
    <t>Teléfono Celular: (011) +54-1122412296</t>
  </si>
  <si>
    <t>33</t>
  </si>
  <si>
    <t>Solanet Zimmermann, Jose Maria</t>
  </si>
  <si>
    <t>Email Institucional: jmsolanet@mail.austral.edu.ar</t>
  </si>
  <si>
    <t>Teléfono Celular: (011) +54-1151116002</t>
  </si>
  <si>
    <t>34</t>
  </si>
  <si>
    <t>Soto, Martina</t>
  </si>
  <si>
    <t>Email Institucional: msoto3@mail.austral.edu.ar</t>
  </si>
  <si>
    <t>Teléfono Celular: (011) +54-1138752254</t>
  </si>
  <si>
    <t>35</t>
  </si>
  <si>
    <t>Tomys de Mello, Lucila</t>
  </si>
  <si>
    <t>Email Institucional: ltomysdemello@mail.austral.edu.ar</t>
  </si>
  <si>
    <t>Teléfono Celular: (011) +54-1166511118</t>
  </si>
  <si>
    <t>36</t>
  </si>
  <si>
    <t>Torres, Nicolas Martin</t>
  </si>
  <si>
    <t>Email Institucional: nmtorres@mail.austral.edu.ar</t>
  </si>
  <si>
    <t xml:space="preserve">
</t>
  </si>
  <si>
    <t>Agazzi, Lautaro Agustín</t>
  </si>
  <si>
    <t>Email Institucional: lagazzi@mail.austral.edu.ar</t>
  </si>
  <si>
    <t xml:space="preserve">Teléfono Celular: (011) +54-11 4074 4227 </t>
  </si>
  <si>
    <t xml:space="preserve">Alonso Gramajo, Paulina Sol </t>
  </si>
  <si>
    <t>Email Institucional: psalonsogramajo@mail.austral.edu.ar</t>
  </si>
  <si>
    <t>Teléfono Celular: (011) +54-1155876849</t>
  </si>
  <si>
    <t>Alvarez Brescia, Eliseo Antonio</t>
  </si>
  <si>
    <t>Email Institucional: ealvarezbrescia@mail.austral.edu.ar</t>
  </si>
  <si>
    <t>Teléfono Celular: (011) +54-1124555109</t>
  </si>
  <si>
    <t>Attala, Luciano</t>
  </si>
  <si>
    <t>Email Institucional: lattala@mail.austral.edu.ar</t>
  </si>
  <si>
    <t>Teléfono Celular: (011) +54-1168784921</t>
  </si>
  <si>
    <t>Bruni, Agustin</t>
  </si>
  <si>
    <t>Email Institucional: abruni@mail.austral.edu.ar</t>
  </si>
  <si>
    <t>Teléfono Celular: (011) +54-1170273301</t>
  </si>
  <si>
    <t xml:space="preserve">Conde Hendel, Augusto Enrique </t>
  </si>
  <si>
    <t>Email Institucional: aecondehendel@mail.austral.edu.ar</t>
  </si>
  <si>
    <t>Teléfono Celular: (011) +54-1157381274</t>
  </si>
  <si>
    <t>Cornejo Saravia, Sol</t>
  </si>
  <si>
    <t>Email Institucional: scornejosaravia@mail.austral.edu.ar</t>
  </si>
  <si>
    <t>Teléfono Celular: (011) +54-91135724024</t>
  </si>
  <si>
    <t>D´Agostino, Luca Francisco</t>
  </si>
  <si>
    <t>Email Institucional: ldagostino2@mail.austral.edu.ar</t>
  </si>
  <si>
    <t>Teléfono Celular: (011) +54-1153273612</t>
  </si>
  <si>
    <t>Delgado Tarre, Diego Enrique</t>
  </si>
  <si>
    <t>Email Institucional: ddelgado1@mail.austral.edu.ar</t>
  </si>
  <si>
    <t>Teléfono Celular: (011) +54-91169440440</t>
  </si>
  <si>
    <t>Donadu, Simon Cruz</t>
  </si>
  <si>
    <t>Email Institucional: scdonadu@mail.austral.edu.ar</t>
  </si>
  <si>
    <t>Teléfono Celular: (011) +54-1130043012</t>
  </si>
  <si>
    <t>Faraldo, Mariano</t>
  </si>
  <si>
    <t>Email Institucional: mfaraldo@mail.austral.edu.ar</t>
  </si>
  <si>
    <t>Teléfono Celular: (011) +54-3874021772</t>
  </si>
  <si>
    <t>Favro Velo, Fernando Joaquín</t>
  </si>
  <si>
    <t>Email Institucional: fjfavrovelo@mail.austral.edu.ar</t>
  </si>
  <si>
    <t>Teléfono Celular: (011) +54-1144019081</t>
  </si>
  <si>
    <t>Flores, Lautaro</t>
  </si>
  <si>
    <t>Email Institucional: lflores3@mail.austral.edu.ar</t>
  </si>
  <si>
    <t>Teléfono Celular: (011) +54-1166656272</t>
  </si>
  <si>
    <t>Gomez Stalldecker, Felipe</t>
  </si>
  <si>
    <t>Email Institucional: fgomezstalldecker@mail.austral.edu.ar</t>
  </si>
  <si>
    <t>Teléfono Celular: (011) +54-1151075771</t>
  </si>
  <si>
    <t>Hidalgo Berrones, María José</t>
  </si>
  <si>
    <t>Email Institucional: mjhidalgo@mail.austral.edu.ar</t>
  </si>
  <si>
    <t>Teléfono Celular: (011) +593-981154252</t>
  </si>
  <si>
    <t>Invierno, Agustina</t>
  </si>
  <si>
    <t>Email Institucional: ainvierno@mail.austral.edu.ar</t>
  </si>
  <si>
    <t>Teléfono Celular: (011) +54-1162138505</t>
  </si>
  <si>
    <t xml:space="preserve">Kouyoumdjian, Felipe </t>
  </si>
  <si>
    <t>Email Institucional: fkouyoumdjian@mail.austral.edu.ar</t>
  </si>
  <si>
    <t>Teléfono Celular: (011) +54-25876448</t>
  </si>
  <si>
    <t>Larrosa, Santiago</t>
  </si>
  <si>
    <t>Email Institucional: slarrosa@mail.austral.edu.ar</t>
  </si>
  <si>
    <t>Teléfono Celular: (011) +54-1180590898</t>
  </si>
  <si>
    <t>Mastronardi Belpoliti, Isabella</t>
  </si>
  <si>
    <t>Email Institucional: imastronardibelpoli@mail.austral.edu.ar</t>
  </si>
  <si>
    <t>Teléfono Celular: (011) +54-1164122244</t>
  </si>
  <si>
    <t>Mildenberger, Ailen Mia</t>
  </si>
  <si>
    <t>Email Institucional: amildemberger@mail.austral.edu.ar</t>
  </si>
  <si>
    <t>Teléfono Celular: (011) +54-1165529818</t>
  </si>
  <si>
    <t>Nores, Juan Ignacio</t>
  </si>
  <si>
    <t>Email Institucional: jinores@mail.austral.edu.ar</t>
  </si>
  <si>
    <t>Teléfono Celular: (011) +54-1127729804</t>
  </si>
  <si>
    <t>Onofri, Valentino</t>
  </si>
  <si>
    <t>Email Institucional: vonofri@mail.austral.edu.ar</t>
  </si>
  <si>
    <t>Teléfono Celular: (011) +54-2975371190</t>
  </si>
  <si>
    <t>Ortega, Abril Maria</t>
  </si>
  <si>
    <t>Email Institucional: aortega2@mail.austral.edu.ar</t>
  </si>
  <si>
    <t>Teléfono Celular: (011) +54-11 3679-8008</t>
  </si>
  <si>
    <t>Ottoni, Maximo Tomas</t>
  </si>
  <si>
    <t>Email Institucional: mtottoni@mail.austral.edu.ar</t>
  </si>
  <si>
    <t>Teléfono Celular: (011) +54-1135641484</t>
  </si>
  <si>
    <t>Penida, Luka Gonzalo</t>
  </si>
  <si>
    <t>Email Institucional: lpenida1@mail.austral.edu.ar</t>
  </si>
  <si>
    <t>Teléfono Celular: (011) +54-1127600117</t>
  </si>
  <si>
    <t>Portela, Andres</t>
  </si>
  <si>
    <t>Email Institucional: aportela@mail.austral.edu.ar</t>
  </si>
  <si>
    <t>Pugliese, Joaquin Sebastian</t>
  </si>
  <si>
    <t>Email Institucional: jpugliese1@mail.austral.edu.ar</t>
  </si>
  <si>
    <t>Teléfono Celular: (011) +54-1170269644</t>
  </si>
  <si>
    <t>renzulli, lisandro</t>
  </si>
  <si>
    <t>Email Institucional: lrenzulli@mail.austral.edu.ar</t>
  </si>
  <si>
    <t>Teléfono Celular: (011) +54-91136261114</t>
  </si>
  <si>
    <t>Rubil, Gianni Máximo</t>
  </si>
  <si>
    <t>Email Institucional: gmrubil@mail.austral.edu.ar</t>
  </si>
  <si>
    <t>Teléfono Celular: (011) +54-91163787666</t>
  </si>
  <si>
    <t>Sacchetti, Santos</t>
  </si>
  <si>
    <t>Email Institucional: ssacchetti@mail.austral.edu.ar</t>
  </si>
  <si>
    <t>Teléfono Celular: (011) +54-1140987552</t>
  </si>
  <si>
    <t>Santoro, Florencia Sofía</t>
  </si>
  <si>
    <t>Email Institucional: fssantoro@mail.austral.edu.ar</t>
  </si>
  <si>
    <t>Teléfono Celular: (011) +54-1163074001</t>
  </si>
  <si>
    <t>Sena, Francisco Simón</t>
  </si>
  <si>
    <t>Email Institucional: fssena@mail.austral.edu.ar</t>
  </si>
  <si>
    <t>Teléfono Celular: (011) +54-1557808661</t>
  </si>
  <si>
    <t>Grupos</t>
  </si>
  <si>
    <t>Grupo</t>
  </si>
  <si>
    <t>Comisión</t>
  </si>
  <si>
    <t>Tutor</t>
  </si>
  <si>
    <t>Gaddi</t>
  </si>
  <si>
    <t>Rivas</t>
  </si>
  <si>
    <t>Zuker</t>
  </si>
  <si>
    <t>Grand Total</t>
  </si>
  <si>
    <t>Total</t>
  </si>
  <si>
    <t>Gaddi Total</t>
  </si>
  <si>
    <t>Rivas Total</t>
  </si>
  <si>
    <t>Zuker Total</t>
  </si>
  <si>
    <t>Count of Alumno</t>
  </si>
  <si>
    <t>Farrus, Pedro Ignacio</t>
  </si>
  <si>
    <t>9:00 - 11:00</t>
  </si>
  <si>
    <t>11:00-13:00</t>
  </si>
  <si>
    <t>mail</t>
  </si>
  <si>
    <t>Celu</t>
  </si>
  <si>
    <t>maldazabal@mail.austral.edu.ar</t>
  </si>
  <si>
    <t>mbeumont@mail.austral.edu.ar</t>
  </si>
  <si>
    <t>bburgo@mail.austral.edu.ar</t>
  </si>
  <si>
    <t>mcier@mail.austral.edu.ar</t>
  </si>
  <si>
    <t>vdelpino@mail.austral.edu.ar</t>
  </si>
  <si>
    <t>pdeluchi@mail.austral.edu.ar</t>
  </si>
  <si>
    <t>cmdesalas@mail.austral.edu.ar</t>
  </si>
  <si>
    <t>idominguez2@mail.austral.edu.ar</t>
  </si>
  <si>
    <t>idomnanovich@mail.austral.edu.ar</t>
  </si>
  <si>
    <t>jfabbro@mail.austral.edu.ar</t>
  </si>
  <si>
    <t>lfalkenstein@mail.austral.edu.ar</t>
  </si>
  <si>
    <t>gfernandezgarcia@mail.austral.edu.ar</t>
  </si>
  <si>
    <t>mfernandez27@mail.austral.edu.ar</t>
  </si>
  <si>
    <t>rlfernandez@mail.austral.edu.ar</t>
  </si>
  <si>
    <t>flgarcialorenzi@mail.austral.edu.ar</t>
  </si>
  <si>
    <t>jigomezcruz@mail.austral.edu.ar</t>
  </si>
  <si>
    <t>igomezgalissier@mail.austral.edu.ar</t>
  </si>
  <si>
    <t>jaharguindeguy@mail.austral.edu.ar</t>
  </si>
  <si>
    <t>elaborde1@mail.austral.edu.ar</t>
  </si>
  <si>
    <t>lleonard@mail.austral.edu.ar</t>
  </si>
  <si>
    <t>mjleonov@mail.austral.edu.ar</t>
  </si>
  <si>
    <t>jclopez@mail.austral.edu.ar</t>
  </si>
  <si>
    <t>smartinezalvarez@mail.austral.edu.ar</t>
  </si>
  <si>
    <t>lmassuh@mail.austral.edu.ar</t>
  </si>
  <si>
    <t>tleonard@mail.austral.edu.ar</t>
  </si>
  <si>
    <t>tmaydana@mail.austral.edu.ar</t>
  </si>
  <si>
    <t>bmerhar@mail.austral.edu.ar</t>
  </si>
  <si>
    <t>ilmontovio@mail.austral.edu.ar</t>
  </si>
  <si>
    <t>trossignuolo@mail.austral.edu.ar</t>
  </si>
  <si>
    <t>marozas@mail.austral.edu.ar</t>
  </si>
  <si>
    <t>asanteusanio@mail.austral.edu.ar</t>
  </si>
  <si>
    <t>jsfilioglassmann@mail.austral.edu.ar</t>
  </si>
  <si>
    <t>jmsolanet@mail.austral.edu.ar</t>
  </si>
  <si>
    <t>msoto3@mail.austral.edu.ar</t>
  </si>
  <si>
    <t>ltomysdemello@mail.austral.edu.ar</t>
  </si>
  <si>
    <t>nmtorres@mail.austral.edu.ar</t>
  </si>
  <si>
    <t>lagazzi@mail.austral.edu.ar</t>
  </si>
  <si>
    <t>psalonsogramajo@mail.austral.edu.ar</t>
  </si>
  <si>
    <t>ealvarezbrescia@mail.austral.edu.ar</t>
  </si>
  <si>
    <t>lattala@mail.austral.edu.ar</t>
  </si>
  <si>
    <t>abruni@mail.austral.edu.ar</t>
  </si>
  <si>
    <t>aecondehendel@mail.austral.edu.ar</t>
  </si>
  <si>
    <t>scornejosaravia@mail.austral.edu.ar</t>
  </si>
  <si>
    <t>ldagostino2@mail.austral.edu.ar</t>
  </si>
  <si>
    <t>ddelgado1@mail.austral.edu.ar</t>
  </si>
  <si>
    <t>scdonadu@mail.austral.edu.ar</t>
  </si>
  <si>
    <t>mfaraldo@mail.austral.edu.ar</t>
  </si>
  <si>
    <t>pfarrus@mail.austral.edu.ar</t>
  </si>
  <si>
    <t>fjfavrovelo@mail.austral.edu.ar</t>
  </si>
  <si>
    <t>lflores3@mail.austral.edu.ar</t>
  </si>
  <si>
    <t>fgomezstalldecker@mail.austral.edu.ar</t>
  </si>
  <si>
    <t>mjhidalgo@mail.austral.edu.ar</t>
  </si>
  <si>
    <t>ainvierno@mail.austral.edu.ar</t>
  </si>
  <si>
    <t>fkouyoumdjian@mail.austral.edu.ar</t>
  </si>
  <si>
    <t>slarrosa@mail.austral.edu.ar</t>
  </si>
  <si>
    <t>imastronardibelpoli@mail.austral.edu.ar</t>
  </si>
  <si>
    <t>amildemberger@mail.austral.edu.ar</t>
  </si>
  <si>
    <t>jinores@mail.austral.edu.ar</t>
  </si>
  <si>
    <t>vonofri@mail.austral.edu.ar</t>
  </si>
  <si>
    <t>aortega2@mail.austral.edu.ar</t>
  </si>
  <si>
    <t>mtottoni@mail.austral.edu.ar</t>
  </si>
  <si>
    <t>lpenida1@mail.austral.edu.ar</t>
  </si>
  <si>
    <t>aportela@mail.austral.edu.ar</t>
  </si>
  <si>
    <t>jpugliese1@mail.austral.edu.ar</t>
  </si>
  <si>
    <t>lrenzulli@mail.austral.edu.ar</t>
  </si>
  <si>
    <t>gmrubil@mail.austral.edu.ar</t>
  </si>
  <si>
    <t>ssacchetti@mail.austral.edu.ar</t>
  </si>
  <si>
    <t>fssantoro@mail.austral.edu.ar</t>
  </si>
  <si>
    <t>fssena@mail.austral.edu.ar</t>
  </si>
  <si>
    <t>(011) +54-1150206481</t>
  </si>
  <si>
    <t>(011) +54-1127137409</t>
  </si>
  <si>
    <t>(011) +54-91128821018</t>
  </si>
  <si>
    <t>(011) +54-91159615588</t>
  </si>
  <si>
    <t>(011) +54-1140504533</t>
  </si>
  <si>
    <t>(011) +54-1140370112</t>
  </si>
  <si>
    <t>(011) +54-1130682603</t>
  </si>
  <si>
    <t>(011) +54-1123212277</t>
  </si>
  <si>
    <t>(011) +54-1136067361</t>
  </si>
  <si>
    <t>(011) +54-011 2396-7224</t>
  </si>
  <si>
    <t>(011) +54-2302343480</t>
  </si>
  <si>
    <t>(011) +54-91141587078</t>
  </si>
  <si>
    <t>(011) +54-91132468721</t>
  </si>
  <si>
    <t>(011) +54-1158658547</t>
  </si>
  <si>
    <t>(011) +54-1159269320</t>
  </si>
  <si>
    <t>(011) +54-91133391998</t>
  </si>
  <si>
    <t>(011) +54-1140499479</t>
  </si>
  <si>
    <t>(011) +54-1151243132</t>
  </si>
  <si>
    <t>(011) +54-3583434584</t>
  </si>
  <si>
    <t>(011) +54-1130207693</t>
  </si>
  <si>
    <t>(011) +54-2304250222</t>
  </si>
  <si>
    <t>(011) +54-1159100637</t>
  </si>
  <si>
    <t>(011) +54-91130842007</t>
  </si>
  <si>
    <t>(011) +54-1158261340</t>
  </si>
  <si>
    <t>(011) +54-1140469346</t>
  </si>
  <si>
    <t>(011) +54-1136959037</t>
  </si>
  <si>
    <t>(011) +54-91138500550</t>
  </si>
  <si>
    <t>(011) +54-92994195957</t>
  </si>
  <si>
    <t>(011) +54-01130499106</t>
  </si>
  <si>
    <t>(011) +54-2995171366</t>
  </si>
  <si>
    <t>(011) +54-1158912389</t>
  </si>
  <si>
    <t>(011) +54-1122412296</t>
  </si>
  <si>
    <t>(011) +54-1151116002</t>
  </si>
  <si>
    <t>(011) +54-1138752254</t>
  </si>
  <si>
    <t>(011) +54-1166511118</t>
  </si>
  <si>
    <t xml:space="preserve">(011) +54-11 4074 4227 </t>
  </si>
  <si>
    <t>(011) +54-1155876849</t>
  </si>
  <si>
    <t>(011) +54-1124555109</t>
  </si>
  <si>
    <t>(011) +54-1168784921</t>
  </si>
  <si>
    <t>(011) +54-1170273301</t>
  </si>
  <si>
    <t>(011) +54-1157381274</t>
  </si>
  <si>
    <t>(011) +54-91135724024</t>
  </si>
  <si>
    <t>(011) +54-1153273612</t>
  </si>
  <si>
    <t>(011) +54-91169440440</t>
  </si>
  <si>
    <t>(011) +54-1130043012</t>
  </si>
  <si>
    <t>(011) +54-3874021772</t>
  </si>
  <si>
    <t>(011) +54-91153454420</t>
  </si>
  <si>
    <t>(011) +54-1144019081</t>
  </si>
  <si>
    <t>(011) +54-1166656272</t>
  </si>
  <si>
    <t>(011) +54-1151075771</t>
  </si>
  <si>
    <t>(011) +593-981154252</t>
  </si>
  <si>
    <t>(011) +54-1162138505</t>
  </si>
  <si>
    <t>(011) +54-25876448</t>
  </si>
  <si>
    <t>(011) +54-1180590898</t>
  </si>
  <si>
    <t>(011) +54-1164122244</t>
  </si>
  <si>
    <t>(011) +54-1165529818</t>
  </si>
  <si>
    <t>(011) +54-1127729804</t>
  </si>
  <si>
    <t>(011) +54-2975371190</t>
  </si>
  <si>
    <t>(011) +54-11 3679-8008</t>
  </si>
  <si>
    <t>(011) +54-1135641484</t>
  </si>
  <si>
    <t>(011) +54-1127600117</t>
  </si>
  <si>
    <t>(011) +54-1170269644</t>
  </si>
  <si>
    <t>(011) +54-91136261114</t>
  </si>
  <si>
    <t>(011) +54-91163787666</t>
  </si>
  <si>
    <t>(011) +54-1140987552</t>
  </si>
  <si>
    <t>(011) +54-1163074001</t>
  </si>
  <si>
    <t>(011) +54-1557808661</t>
  </si>
  <si>
    <t>Gaddi, Martín Ignacio</t>
  </si>
  <si>
    <t>Rivas, María Candelaria</t>
  </si>
  <si>
    <t>Zuker, Zoe</t>
  </si>
  <si>
    <t>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</si>
</sst>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</font>
    <font>
      <b/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theme="3" tint="0.89999084444715716"/>
        <bgColor indexed="8"/>
      </patternFill>
    </fill>
    <fill>
      <patternFill patternType="solid">
        <fgColor theme="5" tint="0.79998168889431442"/>
        <bgColor indexed="8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29"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/>
    </xf>
    <xf numFmtId="0" fontId="0" fillId="3" borderId="1" xfId="0" applyFill="1" applyBorder="1" applyAlignment="1" applyProtection="1">
      <alignment horizontal="center" vertical="center"/>
    </xf>
    <xf numFmtId="0" fontId="1" fillId="2" borderId="2" xfId="0" applyFont="1" applyFill="1" applyBorder="1" applyAlignment="1" applyProtection="1">
      <alignment horizontal="center" vertical="center"/>
    </xf>
    <xf numFmtId="0" fontId="0" fillId="0" borderId="3" xfId="0" applyFill="1" applyBorder="1" applyProtection="1"/>
    <xf numFmtId="0" fontId="0" fillId="0" borderId="4" xfId="0" applyFill="1" applyBorder="1" applyProtection="1"/>
    <xf numFmtId="0" fontId="0" fillId="0" borderId="5" xfId="0" applyFill="1" applyBorder="1" applyProtection="1"/>
    <xf numFmtId="0" fontId="0" fillId="0" borderId="3" xfId="0" pivotButton="1" applyFill="1" applyBorder="1" applyProtection="1"/>
    <xf numFmtId="0" fontId="0" fillId="0" borderId="6" xfId="0" applyFill="1" applyBorder="1" applyProtection="1"/>
    <xf numFmtId="0" fontId="0" fillId="0" borderId="7" xfId="0" applyFill="1" applyBorder="1" applyProtection="1"/>
    <xf numFmtId="0" fontId="0" fillId="0" borderId="9" xfId="0" applyFill="1" applyBorder="1" applyProtection="1"/>
    <xf numFmtId="0" fontId="0" fillId="0" borderId="7" xfId="0" applyNumberFormat="1" applyFill="1" applyBorder="1" applyProtection="1"/>
    <xf numFmtId="0" fontId="0" fillId="0" borderId="8" xfId="0" applyNumberFormat="1" applyFill="1" applyBorder="1" applyProtection="1"/>
    <xf numFmtId="20" fontId="0" fillId="3" borderId="1" xfId="0" applyNumberFormat="1" applyFill="1" applyBorder="1" applyAlignment="1" applyProtection="1">
      <alignment horizontal="center" vertical="center"/>
    </xf>
    <xf numFmtId="0" fontId="0" fillId="4" borderId="1" xfId="0" applyFill="1" applyBorder="1" applyAlignment="1" applyProtection="1">
      <alignment horizontal="center" vertical="center"/>
    </xf>
    <xf numFmtId="0" fontId="0" fillId="5" borderId="1" xfId="0" applyFill="1" applyBorder="1" applyAlignment="1" applyProtection="1">
      <alignment horizontal="center" vertical="center"/>
    </xf>
    <xf numFmtId="0" fontId="0" fillId="4" borderId="10" xfId="0" applyFill="1" applyBorder="1" applyAlignment="1" applyProtection="1">
      <alignment horizontal="center" vertical="center"/>
    </xf>
    <xf numFmtId="0" fontId="0" fillId="4" borderId="2" xfId="0" applyFill="1" applyBorder="1" applyAlignment="1" applyProtection="1">
      <alignment horizontal="center" vertical="center"/>
    </xf>
    <xf numFmtId="0" fontId="0" fillId="4" borderId="11" xfId="0" applyFill="1" applyBorder="1" applyAlignment="1" applyProtection="1">
      <alignment horizontal="center" vertical="center"/>
    </xf>
    <xf numFmtId="0" fontId="0" fillId="5" borderId="10" xfId="0" applyFill="1" applyBorder="1" applyAlignment="1" applyProtection="1">
      <alignment horizontal="center" vertical="center"/>
    </xf>
    <xf numFmtId="0" fontId="0" fillId="5" borderId="2" xfId="0" applyFill="1" applyBorder="1" applyAlignment="1" applyProtection="1">
      <alignment horizontal="center" vertical="center"/>
    </xf>
    <xf numFmtId="0" fontId="0" fillId="5" borderId="11" xfId="0" applyFill="1" applyBorder="1" applyAlignment="1" applyProtection="1">
      <alignment horizontal="center" vertical="center"/>
    </xf>
    <xf numFmtId="0" fontId="0" fillId="3" borderId="10" xfId="0" applyFill="1" applyBorder="1" applyAlignment="1" applyProtection="1">
      <alignment horizontal="center" vertical="center"/>
    </xf>
    <xf numFmtId="0" fontId="0" fillId="3" borderId="2" xfId="0" applyFill="1" applyBorder="1" applyAlignment="1" applyProtection="1">
      <alignment horizontal="center" vertical="center"/>
    </xf>
    <xf numFmtId="0" fontId="0" fillId="3" borderId="11" xfId="0" applyFill="1" applyBorder="1" applyAlignment="1" applyProtection="1">
      <alignment horizontal="center" vertical="center"/>
    </xf>
    <xf numFmtId="20" fontId="0" fillId="3" borderId="10" xfId="0" applyNumberFormat="1" applyFill="1" applyBorder="1" applyAlignment="1" applyProtection="1">
      <alignment horizontal="center" vertical="center"/>
    </xf>
    <xf numFmtId="20" fontId="0" fillId="3" borderId="2" xfId="0" applyNumberFormat="1" applyFill="1" applyBorder="1" applyAlignment="1" applyProtection="1">
      <alignment horizontal="center" vertical="center"/>
    </xf>
    <xf numFmtId="20" fontId="0" fillId="3" borderId="11" xfId="0" applyNumberFormat="1" applyFill="1" applyBorder="1" applyAlignment="1" applyProtection="1">
      <alignment horizontal="center" vertic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6E6E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rtín Gaddi" refreshedDate="45879.946391666665" createdVersion="8" refreshedVersion="8" recordCount="69">
  <cacheSource type="worksheet">
    <worksheetSource ref="A1:D70" sheet="Listado total"/>
  </cacheSource>
  <cacheFields count="4">
    <cacheField name="Comisión" numFmtId="0">
      <sharedItems count="2">
        <s v="9:00 - 11:00"/>
        <s v="11:00-13:00"/>
      </sharedItems>
    </cacheField>
    <cacheField name="Alumno" numFmtId="0">
      <sharedItems count="69">
        <s v="Aldazabal, Mateo Ignacio"/>
        <s v="Beumont, Mateo"/>
        <s v="Burgo, Benjamin"/>
        <s v="Cier, Mora"/>
        <s v="Del Pino, Valentin"/>
        <s v="Deluchi, Pedro"/>
        <s v="de Salas, Camila María"/>
        <s v="Dominguez, Iñaki"/>
        <s v="Domnanovich, Ignacio"/>
        <s v="Fabbro, Juan Ignacio"/>
        <s v="Falkenstein, Leonel"/>
        <s v="Fernandez Garcia, Guadalupe "/>
        <s v="Fernandez, Milagros"/>
        <s v="Fernández , Renata Lucía"/>
        <s v="García Lorenzi, Facundo Leon"/>
        <s v="Gomez Cruz, Juan Ignacio"/>
        <s v="Gomez Galissier, Ignacio"/>
        <s v="Harguindeguy, Joaquin Albano"/>
        <s v="Laborde, Eliseo Juan"/>
        <s v="Leonard, Lucas"/>
        <s v="Leonov, Mateo Josue"/>
        <s v="López, Juan Cruz"/>
        <s v="Martinez Alvarez, Santiago"/>
        <s v="Massuh, Lourdes"/>
        <s v="Leonard, Trinidad"/>
        <s v="Maydana, Trinidad"/>
        <s v="Merhar, Benjamim"/>
        <s v="Montovio , Ignacio Luca"/>
        <s v="Rossignuolo, Tiziano"/>
        <s v="Rozas, Miguel Agustin"/>
        <s v="Santeusanio, Abril"/>
        <s v="Sfilio Glassmann, Josefina"/>
        <s v="Solanet Zimmermann, Jose Maria"/>
        <s v="Soto, Martina"/>
        <s v="Tomys de Mello, Lucila"/>
        <s v="Torres, Nicolas Martin"/>
        <s v="Agazzi, Lautaro Agustín"/>
        <s v="Alonso Gramajo, Paulina Sol "/>
        <s v="Alvarez Brescia, Eliseo Antonio"/>
        <s v="Attala, Luciano"/>
        <s v="Bruni, Agustin"/>
        <s v="Conde Hendel, Augusto Enrique "/>
        <s v="Cornejo Saravia, Sol"/>
        <s v="D´Agostino, Luca Francisco"/>
        <s v="Delgado Tarre, Diego Enrique"/>
        <s v="Donadu, Simon Cruz"/>
        <s v="Faraldo, Mariano"/>
        <s v="Farrus, Pedro Ignacio"/>
        <s v="Favro Velo, Fernando Joaquín"/>
        <s v="Flores, Lautaro"/>
        <s v="Gomez Stalldecker, Felipe"/>
        <s v="Hidalgo Berrones, María José"/>
        <s v="Invierno, Agustina"/>
        <s v="Kouyoumdjian, Felipe "/>
        <s v="Larrosa, Santiago"/>
        <s v="Mastronardi Belpoliti, Isabella"/>
        <s v="Mildenberger, Ailen Mia"/>
        <s v="Nores, Juan Ignacio"/>
        <s v="Onofri, Valentino"/>
        <s v="Ortega, Abril Maria"/>
        <s v="Ottoni, Maximo Tomas"/>
        <s v="Penida, Luka Gonzalo"/>
        <s v="Portela, Andres"/>
        <s v="Pugliese, Joaquin Sebastian"/>
        <s v="renzulli, lisandro"/>
        <s v="Rubil, Gianni Máximo"/>
        <s v="Sacchetti, Santos"/>
        <s v="Santoro, Florencia Sofía"/>
        <s v="Sena, Francisco Simón"/>
      </sharedItems>
    </cacheField>
    <cacheField name="Grupo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utor" numFmtId="0">
      <sharedItems count="3">
        <s v="Gaddi"/>
        <s v="Rivas"/>
        <s v="Zuk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x v="0"/>
    <x v="0"/>
    <x v="0"/>
  </r>
  <r>
    <x v="0"/>
    <x v="1"/>
    <x v="0"/>
    <x v="0"/>
  </r>
  <r>
    <x v="0"/>
    <x v="2"/>
    <x v="0"/>
    <x v="0"/>
  </r>
  <r>
    <x v="0"/>
    <x v="3"/>
    <x v="0"/>
    <x v="0"/>
  </r>
  <r>
    <x v="0"/>
    <x v="4"/>
    <x v="0"/>
    <x v="0"/>
  </r>
  <r>
    <x v="0"/>
    <x v="5"/>
    <x v="0"/>
    <x v="0"/>
  </r>
  <r>
    <x v="0"/>
    <x v="6"/>
    <x v="1"/>
    <x v="0"/>
  </r>
  <r>
    <x v="0"/>
    <x v="7"/>
    <x v="1"/>
    <x v="0"/>
  </r>
  <r>
    <x v="0"/>
    <x v="8"/>
    <x v="1"/>
    <x v="0"/>
  </r>
  <r>
    <x v="0"/>
    <x v="9"/>
    <x v="1"/>
    <x v="0"/>
  </r>
  <r>
    <x v="0"/>
    <x v="10"/>
    <x v="1"/>
    <x v="0"/>
  </r>
  <r>
    <x v="0"/>
    <x v="11"/>
    <x v="1"/>
    <x v="0"/>
  </r>
  <r>
    <x v="0"/>
    <x v="12"/>
    <x v="2"/>
    <x v="0"/>
  </r>
  <r>
    <x v="0"/>
    <x v="13"/>
    <x v="2"/>
    <x v="0"/>
  </r>
  <r>
    <x v="0"/>
    <x v="14"/>
    <x v="2"/>
    <x v="0"/>
  </r>
  <r>
    <x v="0"/>
    <x v="15"/>
    <x v="2"/>
    <x v="0"/>
  </r>
  <r>
    <x v="0"/>
    <x v="16"/>
    <x v="2"/>
    <x v="0"/>
  </r>
  <r>
    <x v="0"/>
    <x v="17"/>
    <x v="2"/>
    <x v="0"/>
  </r>
  <r>
    <x v="0"/>
    <x v="18"/>
    <x v="3"/>
    <x v="0"/>
  </r>
  <r>
    <x v="0"/>
    <x v="19"/>
    <x v="3"/>
    <x v="0"/>
  </r>
  <r>
    <x v="0"/>
    <x v="20"/>
    <x v="3"/>
    <x v="0"/>
  </r>
  <r>
    <x v="0"/>
    <x v="21"/>
    <x v="3"/>
    <x v="0"/>
  </r>
  <r>
    <x v="0"/>
    <x v="22"/>
    <x v="3"/>
    <x v="0"/>
  </r>
  <r>
    <x v="0"/>
    <x v="23"/>
    <x v="3"/>
    <x v="0"/>
  </r>
  <r>
    <x v="0"/>
    <x v="24"/>
    <x v="4"/>
    <x v="1"/>
  </r>
  <r>
    <x v="0"/>
    <x v="25"/>
    <x v="4"/>
    <x v="1"/>
  </r>
  <r>
    <x v="0"/>
    <x v="26"/>
    <x v="4"/>
    <x v="1"/>
  </r>
  <r>
    <x v="0"/>
    <x v="27"/>
    <x v="4"/>
    <x v="1"/>
  </r>
  <r>
    <x v="0"/>
    <x v="28"/>
    <x v="4"/>
    <x v="1"/>
  </r>
  <r>
    <x v="0"/>
    <x v="29"/>
    <x v="4"/>
    <x v="1"/>
  </r>
  <r>
    <x v="0"/>
    <x v="30"/>
    <x v="5"/>
    <x v="1"/>
  </r>
  <r>
    <x v="0"/>
    <x v="31"/>
    <x v="5"/>
    <x v="1"/>
  </r>
  <r>
    <x v="0"/>
    <x v="32"/>
    <x v="5"/>
    <x v="1"/>
  </r>
  <r>
    <x v="0"/>
    <x v="33"/>
    <x v="5"/>
    <x v="1"/>
  </r>
  <r>
    <x v="0"/>
    <x v="34"/>
    <x v="5"/>
    <x v="1"/>
  </r>
  <r>
    <x v="0"/>
    <x v="35"/>
    <x v="5"/>
    <x v="1"/>
  </r>
  <r>
    <x v="1"/>
    <x v="36"/>
    <x v="6"/>
    <x v="1"/>
  </r>
  <r>
    <x v="1"/>
    <x v="37"/>
    <x v="6"/>
    <x v="1"/>
  </r>
  <r>
    <x v="1"/>
    <x v="38"/>
    <x v="6"/>
    <x v="1"/>
  </r>
  <r>
    <x v="1"/>
    <x v="39"/>
    <x v="6"/>
    <x v="1"/>
  </r>
  <r>
    <x v="1"/>
    <x v="40"/>
    <x v="6"/>
    <x v="1"/>
  </r>
  <r>
    <x v="1"/>
    <x v="41"/>
    <x v="7"/>
    <x v="1"/>
  </r>
  <r>
    <x v="1"/>
    <x v="42"/>
    <x v="7"/>
    <x v="1"/>
  </r>
  <r>
    <x v="1"/>
    <x v="43"/>
    <x v="7"/>
    <x v="1"/>
  </r>
  <r>
    <x v="1"/>
    <x v="44"/>
    <x v="7"/>
    <x v="1"/>
  </r>
  <r>
    <x v="1"/>
    <x v="45"/>
    <x v="7"/>
    <x v="1"/>
  </r>
  <r>
    <x v="1"/>
    <x v="46"/>
    <x v="8"/>
    <x v="2"/>
  </r>
  <r>
    <x v="1"/>
    <x v="47"/>
    <x v="8"/>
    <x v="2"/>
  </r>
  <r>
    <x v="1"/>
    <x v="48"/>
    <x v="8"/>
    <x v="2"/>
  </r>
  <r>
    <x v="1"/>
    <x v="49"/>
    <x v="8"/>
    <x v="2"/>
  </r>
  <r>
    <x v="1"/>
    <x v="50"/>
    <x v="8"/>
    <x v="2"/>
  </r>
  <r>
    <x v="1"/>
    <x v="51"/>
    <x v="8"/>
    <x v="2"/>
  </r>
  <r>
    <x v="1"/>
    <x v="52"/>
    <x v="9"/>
    <x v="2"/>
  </r>
  <r>
    <x v="1"/>
    <x v="53"/>
    <x v="9"/>
    <x v="2"/>
  </r>
  <r>
    <x v="1"/>
    <x v="54"/>
    <x v="9"/>
    <x v="2"/>
  </r>
  <r>
    <x v="1"/>
    <x v="55"/>
    <x v="9"/>
    <x v="2"/>
  </r>
  <r>
    <x v="1"/>
    <x v="56"/>
    <x v="9"/>
    <x v="2"/>
  </r>
  <r>
    <x v="1"/>
    <x v="57"/>
    <x v="10"/>
    <x v="2"/>
  </r>
  <r>
    <x v="1"/>
    <x v="58"/>
    <x v="10"/>
    <x v="2"/>
  </r>
  <r>
    <x v="1"/>
    <x v="59"/>
    <x v="10"/>
    <x v="2"/>
  </r>
  <r>
    <x v="1"/>
    <x v="60"/>
    <x v="10"/>
    <x v="2"/>
  </r>
  <r>
    <x v="1"/>
    <x v="61"/>
    <x v="10"/>
    <x v="2"/>
  </r>
  <r>
    <x v="1"/>
    <x v="62"/>
    <x v="10"/>
    <x v="2"/>
  </r>
  <r>
    <x v="1"/>
    <x v="63"/>
    <x v="11"/>
    <x v="2"/>
  </r>
  <r>
    <x v="1"/>
    <x v="64"/>
    <x v="11"/>
    <x v="2"/>
  </r>
  <r>
    <x v="1"/>
    <x v="65"/>
    <x v="11"/>
    <x v="2"/>
  </r>
  <r>
    <x v="1"/>
    <x v="66"/>
    <x v="11"/>
    <x v="2"/>
  </r>
  <r>
    <x v="1"/>
    <x v="67"/>
    <x v="11"/>
    <x v="2"/>
  </r>
  <r>
    <x v="1"/>
    <x v="68"/>
    <x v="1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H1:L18" firstHeaderRow="2" firstDataRow="2" firstDataCol="4"/>
  <pivotFields count="4">
    <pivotField axis="axisRow" compact="0" outline="0" showAll="0" includeNewItemsInFilter="1" defaultSubtotal="0">
      <items count="2">
        <item x="0"/>
        <item x="1"/>
      </items>
    </pivotField>
    <pivotField axis="axisRow" dataField="1" compact="0" outline="0" showAll="0" includeNewItemsInFilter="1">
      <items count="70">
        <item x="36"/>
        <item x="0"/>
        <item x="37"/>
        <item x="38"/>
        <item x="39"/>
        <item x="1"/>
        <item x="40"/>
        <item x="2"/>
        <item x="3"/>
        <item x="41"/>
        <item x="42"/>
        <item x="43"/>
        <item x="6"/>
        <item x="4"/>
        <item x="44"/>
        <item x="5"/>
        <item x="7"/>
        <item x="8"/>
        <item x="45"/>
        <item x="9"/>
        <item x="10"/>
        <item x="46"/>
        <item x="48"/>
        <item x="13"/>
        <item x="11"/>
        <item x="12"/>
        <item x="49"/>
        <item x="14"/>
        <item x="15"/>
        <item x="16"/>
        <item x="50"/>
        <item x="17"/>
        <item x="51"/>
        <item x="52"/>
        <item x="53"/>
        <item x="18"/>
        <item x="54"/>
        <item x="19"/>
        <item x="24"/>
        <item x="20"/>
        <item x="21"/>
        <item x="22"/>
        <item x="23"/>
        <item x="55"/>
        <item x="25"/>
        <item x="26"/>
        <item x="56"/>
        <item x="27"/>
        <item x="57"/>
        <item x="58"/>
        <item x="59"/>
        <item x="60"/>
        <item x="61"/>
        <item x="62"/>
        <item x="63"/>
        <item x="64"/>
        <item x="28"/>
        <item x="29"/>
        <item x="65"/>
        <item x="66"/>
        <item x="30"/>
        <item x="67"/>
        <item x="68"/>
        <item x="31"/>
        <item x="32"/>
        <item x="33"/>
        <item x="34"/>
        <item x="35"/>
        <item x="47"/>
        <item t="default"/>
      </items>
    </pivotField>
    <pivotField axis="axisRow" compact="0" outline="0" showAll="0" includeNewItemsInFilter="1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 sd="0"/>
      </items>
    </pivotField>
    <pivotField axis="axisRow" compact="0" outline="0" showAll="0" includeNewItemsInFilter="1">
      <items count="4">
        <item x="0"/>
        <item x="1"/>
        <item x="2"/>
        <item t="default"/>
      </items>
    </pivotField>
  </pivotFields>
  <rowFields count="4">
    <field x="3"/>
    <field x="0"/>
    <field x="2"/>
    <field x="1"/>
  </rowFields>
  <rowItems count="16">
    <i>
      <x/>
      <x/>
      <x/>
    </i>
    <i r="2">
      <x v="1"/>
    </i>
    <i r="2">
      <x v="2"/>
    </i>
    <i r="2">
      <x v="3"/>
    </i>
    <i t="default">
      <x/>
    </i>
    <i>
      <x v="1"/>
      <x/>
      <x v="4"/>
    </i>
    <i r="2">
      <x v="5"/>
    </i>
    <i r="1">
      <x v="1"/>
      <x v="6"/>
    </i>
    <i r="2">
      <x v="7"/>
    </i>
    <i t="default">
      <x v="1"/>
    </i>
    <i>
      <x v="2"/>
      <x v="1"/>
      <x v="8"/>
    </i>
    <i r="2">
      <x v="9"/>
    </i>
    <i r="2">
      <x v="10"/>
    </i>
    <i r="2">
      <x v="11"/>
    </i>
    <i t="default">
      <x v="2"/>
    </i>
    <i t="grand">
      <x/>
    </i>
  </rowItems>
  <colItems count="1">
    <i/>
  </colItems>
  <dataFields count="1">
    <dataField name="Count of Alumno" fld="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0"/>
  <sheetViews>
    <sheetView tabSelected="1" topLeftCell="A52" workbookViewId="0">
      <selection activeCell="D13" sqref="D13"/>
    </sheetView>
  </sheetViews>
  <sheetFormatPr baseColWidth="10" defaultColWidth="8.7265625" defaultRowHeight="14.5" x14ac:dyDescent="0.35"/>
  <cols>
    <col min="1" max="1" width="20.453125" bestFit="1" customWidth="1"/>
    <col min="2" max="2" width="10.54296875" bestFit="1" customWidth="1"/>
    <col min="4" max="4" width="28.81640625" bestFit="1" customWidth="1"/>
    <col min="5" max="5" width="35.36328125" bestFit="1" customWidth="1"/>
    <col min="6" max="6" width="21.54296875" bestFit="1" customWidth="1"/>
  </cols>
  <sheetData>
    <row r="1" spans="1:6" x14ac:dyDescent="0.35">
      <c r="A1" s="1" t="s">
        <v>251</v>
      </c>
      <c r="B1" s="1" t="s">
        <v>250</v>
      </c>
      <c r="C1" s="1" t="s">
        <v>405</v>
      </c>
      <c r="D1" s="1" t="s">
        <v>1</v>
      </c>
      <c r="E1" s="3" t="s">
        <v>264</v>
      </c>
      <c r="F1" s="3" t="s">
        <v>265</v>
      </c>
    </row>
    <row r="2" spans="1:6" x14ac:dyDescent="0.35">
      <c r="A2" s="22" t="s">
        <v>402</v>
      </c>
      <c r="B2" s="25" t="s">
        <v>262</v>
      </c>
      <c r="C2" s="16">
        <v>1</v>
      </c>
      <c r="D2" s="14" t="s">
        <v>8</v>
      </c>
      <c r="E2" s="14" t="s">
        <v>266</v>
      </c>
      <c r="F2" s="14" t="s">
        <v>335</v>
      </c>
    </row>
    <row r="3" spans="1:6" x14ac:dyDescent="0.35">
      <c r="A3" s="23"/>
      <c r="B3" s="26"/>
      <c r="C3" s="17"/>
      <c r="D3" s="14" t="s">
        <v>14</v>
      </c>
      <c r="E3" s="14" t="s">
        <v>267</v>
      </c>
      <c r="F3" s="14" t="s">
        <v>336</v>
      </c>
    </row>
    <row r="4" spans="1:6" x14ac:dyDescent="0.35">
      <c r="A4" s="23"/>
      <c r="B4" s="26"/>
      <c r="C4" s="17"/>
      <c r="D4" s="14" t="s">
        <v>18</v>
      </c>
      <c r="E4" s="14" t="s">
        <v>268</v>
      </c>
      <c r="F4" s="14" t="s">
        <v>337</v>
      </c>
    </row>
    <row r="5" spans="1:6" x14ac:dyDescent="0.35">
      <c r="A5" s="23"/>
      <c r="B5" s="26"/>
      <c r="C5" s="17"/>
      <c r="D5" s="14" t="s">
        <v>22</v>
      </c>
      <c r="E5" s="14" t="s">
        <v>269</v>
      </c>
      <c r="F5" s="14" t="s">
        <v>338</v>
      </c>
    </row>
    <row r="6" spans="1:6" x14ac:dyDescent="0.35">
      <c r="A6" s="23"/>
      <c r="B6" s="26"/>
      <c r="C6" s="17"/>
      <c r="D6" s="14" t="s">
        <v>26</v>
      </c>
      <c r="E6" s="14" t="s">
        <v>270</v>
      </c>
      <c r="F6" s="14" t="s">
        <v>339</v>
      </c>
    </row>
    <row r="7" spans="1:6" x14ac:dyDescent="0.35">
      <c r="A7" s="23"/>
      <c r="B7" s="26"/>
      <c r="C7" s="18"/>
      <c r="D7" s="14" t="s">
        <v>30</v>
      </c>
      <c r="E7" s="14" t="s">
        <v>271</v>
      </c>
      <c r="F7" s="14" t="s">
        <v>340</v>
      </c>
    </row>
    <row r="8" spans="1:6" x14ac:dyDescent="0.35">
      <c r="A8" s="23"/>
      <c r="B8" s="26"/>
      <c r="C8" s="19">
        <v>2</v>
      </c>
      <c r="D8" s="15" t="s">
        <v>34</v>
      </c>
      <c r="E8" s="15" t="s">
        <v>272</v>
      </c>
      <c r="F8" s="15" t="s">
        <v>341</v>
      </c>
    </row>
    <row r="9" spans="1:6" x14ac:dyDescent="0.35">
      <c r="A9" s="23"/>
      <c r="B9" s="26"/>
      <c r="C9" s="20">
        <v>2</v>
      </c>
      <c r="D9" s="15" t="s">
        <v>38</v>
      </c>
      <c r="E9" s="15" t="s">
        <v>273</v>
      </c>
      <c r="F9" s="15" t="s">
        <v>342</v>
      </c>
    </row>
    <row r="10" spans="1:6" x14ac:dyDescent="0.35">
      <c r="A10" s="23"/>
      <c r="B10" s="26"/>
      <c r="C10" s="20">
        <v>2</v>
      </c>
      <c r="D10" s="15" t="s">
        <v>42</v>
      </c>
      <c r="E10" s="15" t="s">
        <v>274</v>
      </c>
      <c r="F10" s="15" t="s">
        <v>343</v>
      </c>
    </row>
    <row r="11" spans="1:6" x14ac:dyDescent="0.35">
      <c r="A11" s="23"/>
      <c r="B11" s="26"/>
      <c r="C11" s="20">
        <v>2</v>
      </c>
      <c r="D11" s="15" t="s">
        <v>46</v>
      </c>
      <c r="E11" s="15" t="s">
        <v>275</v>
      </c>
      <c r="F11" s="15" t="s">
        <v>344</v>
      </c>
    </row>
    <row r="12" spans="1:6" x14ac:dyDescent="0.35">
      <c r="A12" s="23"/>
      <c r="B12" s="26"/>
      <c r="C12" s="20">
        <v>2</v>
      </c>
      <c r="D12" s="15" t="s">
        <v>50</v>
      </c>
      <c r="E12" s="15" t="s">
        <v>276</v>
      </c>
      <c r="F12" s="15" t="s">
        <v>345</v>
      </c>
    </row>
    <row r="13" spans="1:6" x14ac:dyDescent="0.35">
      <c r="A13" s="23"/>
      <c r="B13" s="26"/>
      <c r="C13" s="21">
        <v>2</v>
      </c>
      <c r="D13" s="15" t="s">
        <v>54</v>
      </c>
      <c r="E13" s="15" t="s">
        <v>277</v>
      </c>
      <c r="F13" s="15" t="s">
        <v>346</v>
      </c>
    </row>
    <row r="14" spans="1:6" x14ac:dyDescent="0.35">
      <c r="A14" s="23"/>
      <c r="B14" s="26"/>
      <c r="C14" s="16">
        <v>3</v>
      </c>
      <c r="D14" s="14" t="s">
        <v>58</v>
      </c>
      <c r="E14" s="14" t="s">
        <v>278</v>
      </c>
      <c r="F14" s="14" t="s">
        <v>347</v>
      </c>
    </row>
    <row r="15" spans="1:6" x14ac:dyDescent="0.35">
      <c r="A15" s="23"/>
      <c r="B15" s="26"/>
      <c r="C15" s="17">
        <v>3</v>
      </c>
      <c r="D15" s="14" t="s">
        <v>62</v>
      </c>
      <c r="E15" s="14" t="s">
        <v>279</v>
      </c>
      <c r="F15" s="14" t="s">
        <v>348</v>
      </c>
    </row>
    <row r="16" spans="1:6" x14ac:dyDescent="0.35">
      <c r="A16" s="23"/>
      <c r="B16" s="26"/>
      <c r="C16" s="17">
        <v>3</v>
      </c>
      <c r="D16" s="14" t="s">
        <v>66</v>
      </c>
      <c r="E16" s="14" t="s">
        <v>280</v>
      </c>
      <c r="F16" s="14" t="s">
        <v>349</v>
      </c>
    </row>
    <row r="17" spans="1:6" x14ac:dyDescent="0.35">
      <c r="A17" s="23"/>
      <c r="B17" s="26"/>
      <c r="C17" s="17">
        <v>3</v>
      </c>
      <c r="D17" s="14" t="s">
        <v>70</v>
      </c>
      <c r="E17" s="14" t="s">
        <v>281</v>
      </c>
      <c r="F17" s="14" t="s">
        <v>350</v>
      </c>
    </row>
    <row r="18" spans="1:6" x14ac:dyDescent="0.35">
      <c r="A18" s="23"/>
      <c r="B18" s="26"/>
      <c r="C18" s="17">
        <v>3</v>
      </c>
      <c r="D18" s="14" t="s">
        <v>74</v>
      </c>
      <c r="E18" s="14" t="s">
        <v>282</v>
      </c>
      <c r="F18" s="14" t="s">
        <v>351</v>
      </c>
    </row>
    <row r="19" spans="1:6" x14ac:dyDescent="0.35">
      <c r="A19" s="23"/>
      <c r="B19" s="26"/>
      <c r="C19" s="18">
        <v>3</v>
      </c>
      <c r="D19" s="14" t="s">
        <v>78</v>
      </c>
      <c r="E19" s="14" t="s">
        <v>283</v>
      </c>
      <c r="F19" s="14" t="s">
        <v>352</v>
      </c>
    </row>
    <row r="20" spans="1:6" x14ac:dyDescent="0.35">
      <c r="A20" s="23"/>
      <c r="B20" s="26"/>
      <c r="C20" s="19">
        <v>4</v>
      </c>
      <c r="D20" s="15" t="s">
        <v>82</v>
      </c>
      <c r="E20" s="15" t="s">
        <v>284</v>
      </c>
      <c r="F20" s="15" t="s">
        <v>353</v>
      </c>
    </row>
    <row r="21" spans="1:6" x14ac:dyDescent="0.35">
      <c r="A21" s="23"/>
      <c r="B21" s="26"/>
      <c r="C21" s="20">
        <v>4</v>
      </c>
      <c r="D21" s="15" t="s">
        <v>86</v>
      </c>
      <c r="E21" s="15" t="s">
        <v>285</v>
      </c>
      <c r="F21" s="15" t="s">
        <v>354</v>
      </c>
    </row>
    <row r="22" spans="1:6" x14ac:dyDescent="0.35">
      <c r="A22" s="23"/>
      <c r="B22" s="26"/>
      <c r="C22" s="20">
        <v>4</v>
      </c>
      <c r="D22" s="15" t="s">
        <v>94</v>
      </c>
      <c r="E22" s="15" t="s">
        <v>286</v>
      </c>
      <c r="F22" s="15" t="s">
        <v>355</v>
      </c>
    </row>
    <row r="23" spans="1:6" x14ac:dyDescent="0.35">
      <c r="A23" s="23"/>
      <c r="B23" s="26"/>
      <c r="C23" s="20">
        <v>4</v>
      </c>
      <c r="D23" s="15" t="s">
        <v>98</v>
      </c>
      <c r="E23" s="15" t="s">
        <v>287</v>
      </c>
      <c r="F23" s="15" t="s">
        <v>356</v>
      </c>
    </row>
    <row r="24" spans="1:6" x14ac:dyDescent="0.35">
      <c r="A24" s="23"/>
      <c r="B24" s="26"/>
      <c r="C24" s="20">
        <v>4</v>
      </c>
      <c r="D24" s="15" t="s">
        <v>102</v>
      </c>
      <c r="E24" s="15" t="s">
        <v>288</v>
      </c>
      <c r="F24" s="15" t="s">
        <v>357</v>
      </c>
    </row>
    <row r="25" spans="1:6" x14ac:dyDescent="0.35">
      <c r="A25" s="24"/>
      <c r="B25" s="27"/>
      <c r="C25" s="21">
        <v>4</v>
      </c>
      <c r="D25" s="15" t="s">
        <v>106</v>
      </c>
      <c r="E25" s="15" t="s">
        <v>289</v>
      </c>
      <c r="F25" s="15" t="s">
        <v>358</v>
      </c>
    </row>
    <row r="26" spans="1:6" x14ac:dyDescent="0.35">
      <c r="A26" s="22" t="s">
        <v>403</v>
      </c>
      <c r="B26" s="25" t="s">
        <v>262</v>
      </c>
      <c r="C26" s="16">
        <v>5</v>
      </c>
      <c r="D26" s="14" t="s">
        <v>90</v>
      </c>
      <c r="E26" s="14" t="s">
        <v>290</v>
      </c>
      <c r="F26" s="14" t="s">
        <v>359</v>
      </c>
    </row>
    <row r="27" spans="1:6" x14ac:dyDescent="0.35">
      <c r="A27" s="23"/>
      <c r="B27" s="26"/>
      <c r="C27" s="17">
        <v>5</v>
      </c>
      <c r="D27" s="14" t="s">
        <v>110</v>
      </c>
      <c r="E27" s="14" t="s">
        <v>291</v>
      </c>
      <c r="F27" s="14" t="s">
        <v>360</v>
      </c>
    </row>
    <row r="28" spans="1:6" x14ac:dyDescent="0.35">
      <c r="A28" s="23"/>
      <c r="B28" s="26"/>
      <c r="C28" s="17">
        <v>5</v>
      </c>
      <c r="D28" s="14" t="s">
        <v>114</v>
      </c>
      <c r="E28" s="14" t="s">
        <v>292</v>
      </c>
      <c r="F28" s="14" t="s">
        <v>361</v>
      </c>
    </row>
    <row r="29" spans="1:6" x14ac:dyDescent="0.35">
      <c r="A29" s="23"/>
      <c r="B29" s="26"/>
      <c r="C29" s="17">
        <v>5</v>
      </c>
      <c r="D29" s="14" t="s">
        <v>118</v>
      </c>
      <c r="E29" s="14" t="s">
        <v>293</v>
      </c>
      <c r="F29" s="14" t="s">
        <v>362</v>
      </c>
    </row>
    <row r="30" spans="1:6" x14ac:dyDescent="0.35">
      <c r="A30" s="23"/>
      <c r="B30" s="26"/>
      <c r="C30" s="17">
        <v>5</v>
      </c>
      <c r="D30" s="14" t="s">
        <v>122</v>
      </c>
      <c r="E30" s="14" t="s">
        <v>294</v>
      </c>
      <c r="F30" s="14" t="s">
        <v>363</v>
      </c>
    </row>
    <row r="31" spans="1:6" x14ac:dyDescent="0.35">
      <c r="A31" s="23"/>
      <c r="B31" s="26"/>
      <c r="C31" s="18">
        <v>5</v>
      </c>
      <c r="D31" s="14" t="s">
        <v>126</v>
      </c>
      <c r="E31" s="14" t="s">
        <v>295</v>
      </c>
      <c r="F31" s="14" t="s">
        <v>364</v>
      </c>
    </row>
    <row r="32" spans="1:6" x14ac:dyDescent="0.35">
      <c r="A32" s="23"/>
      <c r="B32" s="26"/>
      <c r="C32" s="19">
        <v>6</v>
      </c>
      <c r="D32" s="15" t="s">
        <v>130</v>
      </c>
      <c r="E32" s="15" t="s">
        <v>296</v>
      </c>
      <c r="F32" s="15" t="s">
        <v>365</v>
      </c>
    </row>
    <row r="33" spans="1:6" x14ac:dyDescent="0.35">
      <c r="A33" s="23"/>
      <c r="B33" s="26"/>
      <c r="C33" s="20">
        <v>6</v>
      </c>
      <c r="D33" s="15" t="s">
        <v>134</v>
      </c>
      <c r="E33" s="15" t="s">
        <v>297</v>
      </c>
      <c r="F33" s="15" t="s">
        <v>366</v>
      </c>
    </row>
    <row r="34" spans="1:6" x14ac:dyDescent="0.35">
      <c r="A34" s="23"/>
      <c r="B34" s="26"/>
      <c r="C34" s="20">
        <v>6</v>
      </c>
      <c r="D34" s="15" t="s">
        <v>138</v>
      </c>
      <c r="E34" s="15" t="s">
        <v>298</v>
      </c>
      <c r="F34" s="15" t="s">
        <v>367</v>
      </c>
    </row>
    <row r="35" spans="1:6" x14ac:dyDescent="0.35">
      <c r="A35" s="23"/>
      <c r="B35" s="26"/>
      <c r="C35" s="20">
        <v>6</v>
      </c>
      <c r="D35" s="15" t="s">
        <v>142</v>
      </c>
      <c r="E35" s="15" t="s">
        <v>299</v>
      </c>
      <c r="F35" s="15" t="s">
        <v>368</v>
      </c>
    </row>
    <row r="36" spans="1:6" x14ac:dyDescent="0.35">
      <c r="A36" s="23"/>
      <c r="B36" s="26"/>
      <c r="C36" s="20">
        <v>6</v>
      </c>
      <c r="D36" s="15" t="s">
        <v>146</v>
      </c>
      <c r="E36" s="15" t="s">
        <v>300</v>
      </c>
      <c r="F36" s="15" t="s">
        <v>369</v>
      </c>
    </row>
    <row r="37" spans="1:6" x14ac:dyDescent="0.35">
      <c r="A37" s="23"/>
      <c r="B37" s="27"/>
      <c r="C37" s="21">
        <v>6</v>
      </c>
      <c r="D37" s="15" t="s">
        <v>150</v>
      </c>
      <c r="E37" s="15" t="s">
        <v>301</v>
      </c>
      <c r="F37" s="15"/>
    </row>
    <row r="38" spans="1:6" x14ac:dyDescent="0.35">
      <c r="A38" s="23"/>
      <c r="B38" s="22" t="s">
        <v>263</v>
      </c>
      <c r="C38" s="16">
        <v>7</v>
      </c>
      <c r="D38" s="14" t="s">
        <v>153</v>
      </c>
      <c r="E38" s="14" t="s">
        <v>302</v>
      </c>
      <c r="F38" s="14" t="s">
        <v>370</v>
      </c>
    </row>
    <row r="39" spans="1:6" x14ac:dyDescent="0.35">
      <c r="A39" s="23"/>
      <c r="B39" s="23"/>
      <c r="C39" s="17"/>
      <c r="D39" s="14" t="s">
        <v>156</v>
      </c>
      <c r="E39" s="14" t="s">
        <v>303</v>
      </c>
      <c r="F39" s="14" t="s">
        <v>371</v>
      </c>
    </row>
    <row r="40" spans="1:6" x14ac:dyDescent="0.35">
      <c r="A40" s="23"/>
      <c r="B40" s="23"/>
      <c r="C40" s="17"/>
      <c r="D40" s="14" t="s">
        <v>159</v>
      </c>
      <c r="E40" s="14" t="s">
        <v>304</v>
      </c>
      <c r="F40" s="14" t="s">
        <v>372</v>
      </c>
    </row>
    <row r="41" spans="1:6" x14ac:dyDescent="0.35">
      <c r="A41" s="23"/>
      <c r="B41" s="23"/>
      <c r="C41" s="17"/>
      <c r="D41" s="14" t="s">
        <v>162</v>
      </c>
      <c r="E41" s="14" t="s">
        <v>305</v>
      </c>
      <c r="F41" s="14" t="s">
        <v>373</v>
      </c>
    </row>
    <row r="42" spans="1:6" x14ac:dyDescent="0.35">
      <c r="A42" s="23"/>
      <c r="B42" s="23"/>
      <c r="C42" s="18"/>
      <c r="D42" s="14" t="s">
        <v>165</v>
      </c>
      <c r="E42" s="14" t="s">
        <v>306</v>
      </c>
      <c r="F42" s="14" t="s">
        <v>374</v>
      </c>
    </row>
    <row r="43" spans="1:6" x14ac:dyDescent="0.35">
      <c r="A43" s="23"/>
      <c r="B43" s="23"/>
      <c r="C43" s="19">
        <v>8</v>
      </c>
      <c r="D43" s="15" t="s">
        <v>168</v>
      </c>
      <c r="E43" s="15" t="s">
        <v>307</v>
      </c>
      <c r="F43" s="15" t="s">
        <v>375</v>
      </c>
    </row>
    <row r="44" spans="1:6" x14ac:dyDescent="0.35">
      <c r="A44" s="23"/>
      <c r="B44" s="23"/>
      <c r="C44" s="20"/>
      <c r="D44" s="15" t="s">
        <v>171</v>
      </c>
      <c r="E44" s="15" t="s">
        <v>308</v>
      </c>
      <c r="F44" s="15" t="s">
        <v>376</v>
      </c>
    </row>
    <row r="45" spans="1:6" x14ac:dyDescent="0.35">
      <c r="A45" s="23"/>
      <c r="B45" s="23"/>
      <c r="C45" s="20"/>
      <c r="D45" s="15" t="s">
        <v>174</v>
      </c>
      <c r="E45" s="15" t="s">
        <v>309</v>
      </c>
      <c r="F45" s="15" t="s">
        <v>377</v>
      </c>
    </row>
    <row r="46" spans="1:6" x14ac:dyDescent="0.35">
      <c r="A46" s="23"/>
      <c r="B46" s="23"/>
      <c r="C46" s="20"/>
      <c r="D46" s="15" t="s">
        <v>177</v>
      </c>
      <c r="E46" s="15" t="s">
        <v>310</v>
      </c>
      <c r="F46" s="15" t="s">
        <v>378</v>
      </c>
    </row>
    <row r="47" spans="1:6" x14ac:dyDescent="0.35">
      <c r="A47" s="24"/>
      <c r="B47" s="24"/>
      <c r="C47" s="21"/>
      <c r="D47" s="15" t="s">
        <v>180</v>
      </c>
      <c r="E47" s="15" t="s">
        <v>311</v>
      </c>
      <c r="F47" s="15" t="s">
        <v>379</v>
      </c>
    </row>
    <row r="48" spans="1:6" x14ac:dyDescent="0.35">
      <c r="A48" s="22" t="s">
        <v>404</v>
      </c>
      <c r="B48" s="22" t="s">
        <v>263</v>
      </c>
      <c r="C48" s="16">
        <v>9</v>
      </c>
      <c r="D48" s="14" t="s">
        <v>183</v>
      </c>
      <c r="E48" s="14" t="s">
        <v>312</v>
      </c>
      <c r="F48" s="14" t="s">
        <v>380</v>
      </c>
    </row>
    <row r="49" spans="1:6" x14ac:dyDescent="0.35">
      <c r="A49" s="23"/>
      <c r="B49" s="23"/>
      <c r="C49" s="17"/>
      <c r="D49" s="14" t="s">
        <v>261</v>
      </c>
      <c r="E49" s="14" t="s">
        <v>313</v>
      </c>
      <c r="F49" s="14" t="s">
        <v>381</v>
      </c>
    </row>
    <row r="50" spans="1:6" x14ac:dyDescent="0.35">
      <c r="A50" s="23"/>
      <c r="B50" s="23"/>
      <c r="C50" s="17"/>
      <c r="D50" s="14" t="s">
        <v>186</v>
      </c>
      <c r="E50" s="14" t="s">
        <v>314</v>
      </c>
      <c r="F50" s="14" t="s">
        <v>382</v>
      </c>
    </row>
    <row r="51" spans="1:6" x14ac:dyDescent="0.35">
      <c r="A51" s="23"/>
      <c r="B51" s="23"/>
      <c r="C51" s="17"/>
      <c r="D51" s="14" t="s">
        <v>189</v>
      </c>
      <c r="E51" s="14" t="s">
        <v>315</v>
      </c>
      <c r="F51" s="14" t="s">
        <v>383</v>
      </c>
    </row>
    <row r="52" spans="1:6" x14ac:dyDescent="0.35">
      <c r="A52" s="23"/>
      <c r="B52" s="23"/>
      <c r="C52" s="17"/>
      <c r="D52" s="14" t="s">
        <v>192</v>
      </c>
      <c r="E52" s="14" t="s">
        <v>316</v>
      </c>
      <c r="F52" s="14" t="s">
        <v>384</v>
      </c>
    </row>
    <row r="53" spans="1:6" x14ac:dyDescent="0.35">
      <c r="A53" s="23"/>
      <c r="B53" s="23"/>
      <c r="C53" s="18"/>
      <c r="D53" s="14" t="s">
        <v>195</v>
      </c>
      <c r="E53" s="14" t="s">
        <v>317</v>
      </c>
      <c r="F53" s="14" t="s">
        <v>385</v>
      </c>
    </row>
    <row r="54" spans="1:6" x14ac:dyDescent="0.35">
      <c r="A54" s="23"/>
      <c r="B54" s="23"/>
      <c r="C54" s="19">
        <v>10</v>
      </c>
      <c r="D54" s="15" t="s">
        <v>198</v>
      </c>
      <c r="E54" s="15" t="s">
        <v>318</v>
      </c>
      <c r="F54" s="15" t="s">
        <v>386</v>
      </c>
    </row>
    <row r="55" spans="1:6" x14ac:dyDescent="0.35">
      <c r="A55" s="23"/>
      <c r="B55" s="23"/>
      <c r="C55" s="20"/>
      <c r="D55" s="15" t="s">
        <v>201</v>
      </c>
      <c r="E55" s="15" t="s">
        <v>319</v>
      </c>
      <c r="F55" s="15" t="s">
        <v>387</v>
      </c>
    </row>
    <row r="56" spans="1:6" x14ac:dyDescent="0.35">
      <c r="A56" s="23"/>
      <c r="B56" s="23"/>
      <c r="C56" s="20"/>
      <c r="D56" s="15" t="s">
        <v>204</v>
      </c>
      <c r="E56" s="15" t="s">
        <v>320</v>
      </c>
      <c r="F56" s="15" t="s">
        <v>388</v>
      </c>
    </row>
    <row r="57" spans="1:6" x14ac:dyDescent="0.35">
      <c r="A57" s="23"/>
      <c r="B57" s="23"/>
      <c r="C57" s="20"/>
      <c r="D57" s="15" t="s">
        <v>207</v>
      </c>
      <c r="E57" s="15" t="s">
        <v>321</v>
      </c>
      <c r="F57" s="15" t="s">
        <v>389</v>
      </c>
    </row>
    <row r="58" spans="1:6" x14ac:dyDescent="0.35">
      <c r="A58" s="23"/>
      <c r="B58" s="23"/>
      <c r="C58" s="21"/>
      <c r="D58" s="15" t="s">
        <v>210</v>
      </c>
      <c r="E58" s="15" t="s">
        <v>322</v>
      </c>
      <c r="F58" s="15" t="s">
        <v>390</v>
      </c>
    </row>
    <row r="59" spans="1:6" x14ac:dyDescent="0.35">
      <c r="A59" s="23"/>
      <c r="B59" s="23"/>
      <c r="C59" s="16">
        <v>11</v>
      </c>
      <c r="D59" s="14" t="s">
        <v>213</v>
      </c>
      <c r="E59" s="14" t="s">
        <v>323</v>
      </c>
      <c r="F59" s="14" t="s">
        <v>391</v>
      </c>
    </row>
    <row r="60" spans="1:6" x14ac:dyDescent="0.35">
      <c r="A60" s="23"/>
      <c r="B60" s="23"/>
      <c r="C60" s="17"/>
      <c r="D60" s="14" t="s">
        <v>216</v>
      </c>
      <c r="E60" s="14" t="s">
        <v>324</v>
      </c>
      <c r="F60" s="14" t="s">
        <v>392</v>
      </c>
    </row>
    <row r="61" spans="1:6" x14ac:dyDescent="0.35">
      <c r="A61" s="23"/>
      <c r="B61" s="23"/>
      <c r="C61" s="17"/>
      <c r="D61" s="14" t="s">
        <v>219</v>
      </c>
      <c r="E61" s="14" t="s">
        <v>325</v>
      </c>
      <c r="F61" s="14" t="s">
        <v>393</v>
      </c>
    </row>
    <row r="62" spans="1:6" x14ac:dyDescent="0.35">
      <c r="A62" s="23"/>
      <c r="B62" s="23"/>
      <c r="C62" s="17"/>
      <c r="D62" s="14" t="s">
        <v>222</v>
      </c>
      <c r="E62" s="14" t="s">
        <v>326</v>
      </c>
      <c r="F62" s="14" t="s">
        <v>394</v>
      </c>
    </row>
    <row r="63" spans="1:6" x14ac:dyDescent="0.35">
      <c r="A63" s="23"/>
      <c r="B63" s="23"/>
      <c r="C63" s="17"/>
      <c r="D63" s="14" t="s">
        <v>225</v>
      </c>
      <c r="E63" s="14" t="s">
        <v>327</v>
      </c>
      <c r="F63" s="14" t="s">
        <v>395</v>
      </c>
    </row>
    <row r="64" spans="1:6" x14ac:dyDescent="0.35">
      <c r="A64" s="23"/>
      <c r="B64" s="23"/>
      <c r="C64" s="18"/>
      <c r="D64" s="14" t="s">
        <v>228</v>
      </c>
      <c r="E64" s="14" t="s">
        <v>328</v>
      </c>
      <c r="F64" s="14"/>
    </row>
    <row r="65" spans="1:6" x14ac:dyDescent="0.35">
      <c r="A65" s="23"/>
      <c r="B65" s="23"/>
      <c r="C65" s="19">
        <v>12</v>
      </c>
      <c r="D65" s="15" t="s">
        <v>230</v>
      </c>
      <c r="E65" s="15" t="s">
        <v>329</v>
      </c>
      <c r="F65" s="15" t="s">
        <v>396</v>
      </c>
    </row>
    <row r="66" spans="1:6" x14ac:dyDescent="0.35">
      <c r="A66" s="23"/>
      <c r="B66" s="23"/>
      <c r="C66" s="20"/>
      <c r="D66" s="15" t="s">
        <v>233</v>
      </c>
      <c r="E66" s="15" t="s">
        <v>330</v>
      </c>
      <c r="F66" s="15" t="s">
        <v>397</v>
      </c>
    </row>
    <row r="67" spans="1:6" x14ac:dyDescent="0.35">
      <c r="A67" s="23"/>
      <c r="B67" s="23"/>
      <c r="C67" s="20"/>
      <c r="D67" s="15" t="s">
        <v>236</v>
      </c>
      <c r="E67" s="15" t="s">
        <v>331</v>
      </c>
      <c r="F67" s="15" t="s">
        <v>398</v>
      </c>
    </row>
    <row r="68" spans="1:6" x14ac:dyDescent="0.35">
      <c r="A68" s="23"/>
      <c r="B68" s="23"/>
      <c r="C68" s="20"/>
      <c r="D68" s="15" t="s">
        <v>239</v>
      </c>
      <c r="E68" s="15" t="s">
        <v>332</v>
      </c>
      <c r="F68" s="15" t="s">
        <v>399</v>
      </c>
    </row>
    <row r="69" spans="1:6" x14ac:dyDescent="0.35">
      <c r="A69" s="23"/>
      <c r="B69" s="23"/>
      <c r="C69" s="20"/>
      <c r="D69" s="15" t="s">
        <v>242</v>
      </c>
      <c r="E69" s="15" t="s">
        <v>333</v>
      </c>
      <c r="F69" s="15" t="s">
        <v>400</v>
      </c>
    </row>
    <row r="70" spans="1:6" x14ac:dyDescent="0.35">
      <c r="A70" s="24"/>
      <c r="B70" s="24"/>
      <c r="C70" s="21"/>
      <c r="D70" s="15" t="s">
        <v>245</v>
      </c>
      <c r="E70" s="15" t="s">
        <v>334</v>
      </c>
      <c r="F70" s="15" t="s">
        <v>401</v>
      </c>
    </row>
  </sheetData>
  <mergeCells count="19">
    <mergeCell ref="A2:A25"/>
    <mergeCell ref="A26:A47"/>
    <mergeCell ref="A48:A70"/>
    <mergeCell ref="B2:B25"/>
    <mergeCell ref="B26:B37"/>
    <mergeCell ref="B38:B47"/>
    <mergeCell ref="B48:B70"/>
    <mergeCell ref="C65:C70"/>
    <mergeCell ref="C2:C7"/>
    <mergeCell ref="C8:C13"/>
    <mergeCell ref="C14:C19"/>
    <mergeCell ref="C20:C25"/>
    <mergeCell ref="C26:C31"/>
    <mergeCell ref="C32:C37"/>
    <mergeCell ref="C38:C42"/>
    <mergeCell ref="C43:C47"/>
    <mergeCell ref="C48:C53"/>
    <mergeCell ref="C54:C58"/>
    <mergeCell ref="C59:C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tabSelected="1" topLeftCell="A52" workbookViewId="0">
      <selection activeCell="D13" sqref="D13"/>
    </sheetView>
  </sheetViews>
  <sheetFormatPr baseColWidth="10" defaultColWidth="8.7265625" defaultRowHeight="14.5" x14ac:dyDescent="0.35"/>
  <cols>
    <col min="1" max="1" width="10.54296875" bestFit="1" customWidth="1"/>
    <col min="2" max="2" width="28.81640625" bestFit="1" customWidth="1"/>
    <col min="5" max="5" width="35.36328125" bestFit="1" customWidth="1"/>
    <col min="6" max="6" width="21.54296875" bestFit="1" customWidth="1"/>
    <col min="8" max="8" width="15.08984375" bestFit="1" customWidth="1"/>
    <col min="9" max="9" width="12.36328125" bestFit="1" customWidth="1"/>
    <col min="10" max="11" width="9.6328125" bestFit="1" customWidth="1"/>
    <col min="12" max="12" width="5" bestFit="1" customWidth="1"/>
  </cols>
  <sheetData>
    <row r="1" spans="1:12" x14ac:dyDescent="0.35">
      <c r="A1" s="1" t="s">
        <v>250</v>
      </c>
      <c r="B1" s="1" t="s">
        <v>1</v>
      </c>
      <c r="C1" s="1" t="s">
        <v>405</v>
      </c>
      <c r="D1" s="1" t="s">
        <v>251</v>
      </c>
      <c r="E1" s="3" t="s">
        <v>264</v>
      </c>
      <c r="F1" s="3" t="s">
        <v>265</v>
      </c>
      <c r="H1" s="7" t="s">
        <v>260</v>
      </c>
      <c r="I1" s="5"/>
      <c r="J1" s="5"/>
      <c r="K1" s="5"/>
      <c r="L1" s="9"/>
    </row>
    <row r="2" spans="1:12" x14ac:dyDescent="0.35">
      <c r="A2" s="13" t="s">
        <v>262</v>
      </c>
      <c r="B2" s="2" t="s">
        <v>8</v>
      </c>
      <c r="C2" s="2">
        <v>1</v>
      </c>
      <c r="D2" s="2" t="s">
        <v>252</v>
      </c>
      <c r="E2" s="2" t="s">
        <v>266</v>
      </c>
      <c r="F2" s="2" t="s">
        <v>335</v>
      </c>
      <c r="H2" s="7" t="s">
        <v>251</v>
      </c>
      <c r="I2" s="7" t="s">
        <v>250</v>
      </c>
      <c r="J2" s="7" t="s">
        <v>248</v>
      </c>
      <c r="K2" s="7" t="s">
        <v>1</v>
      </c>
      <c r="L2" s="9" t="s">
        <v>256</v>
      </c>
    </row>
    <row r="3" spans="1:12" x14ac:dyDescent="0.35">
      <c r="A3" s="13" t="s">
        <v>262</v>
      </c>
      <c r="B3" s="2" t="s">
        <v>14</v>
      </c>
      <c r="C3" s="2">
        <v>1</v>
      </c>
      <c r="D3" s="2" t="s">
        <v>252</v>
      </c>
      <c r="E3" s="2" t="s">
        <v>267</v>
      </c>
      <c r="F3" s="2" t="s">
        <v>336</v>
      </c>
      <c r="H3" s="4" t="s">
        <v>252</v>
      </c>
      <c r="I3" s="4" t="s">
        <v>262</v>
      </c>
      <c r="J3" s="4">
        <v>1</v>
      </c>
      <c r="K3" s="5"/>
      <c r="L3" s="11">
        <v>6</v>
      </c>
    </row>
    <row r="4" spans="1:12" x14ac:dyDescent="0.35">
      <c r="A4" s="13" t="s">
        <v>262</v>
      </c>
      <c r="B4" s="2" t="s">
        <v>18</v>
      </c>
      <c r="C4" s="2">
        <v>1</v>
      </c>
      <c r="D4" s="2" t="s">
        <v>252</v>
      </c>
      <c r="E4" s="2" t="s">
        <v>268</v>
      </c>
      <c r="F4" s="2" t="s">
        <v>337</v>
      </c>
      <c r="H4" s="6"/>
      <c r="I4" s="6"/>
      <c r="J4" s="4">
        <v>2</v>
      </c>
      <c r="K4" s="5"/>
      <c r="L4" s="11">
        <v>6</v>
      </c>
    </row>
    <row r="5" spans="1:12" x14ac:dyDescent="0.35">
      <c r="A5" s="13" t="s">
        <v>262</v>
      </c>
      <c r="B5" s="2" t="s">
        <v>22</v>
      </c>
      <c r="C5" s="2">
        <v>1</v>
      </c>
      <c r="D5" s="2" t="s">
        <v>252</v>
      </c>
      <c r="E5" s="2" t="s">
        <v>269</v>
      </c>
      <c r="F5" s="2" t="s">
        <v>338</v>
      </c>
      <c r="H5" s="6"/>
      <c r="I5" s="6"/>
      <c r="J5" s="4">
        <v>3</v>
      </c>
      <c r="K5" s="5"/>
      <c r="L5" s="11">
        <v>6</v>
      </c>
    </row>
    <row r="6" spans="1:12" x14ac:dyDescent="0.35">
      <c r="A6" s="13" t="s">
        <v>262</v>
      </c>
      <c r="B6" s="2" t="s">
        <v>26</v>
      </c>
      <c r="C6" s="2">
        <v>1</v>
      </c>
      <c r="D6" s="2" t="s">
        <v>252</v>
      </c>
      <c r="E6" s="2" t="s">
        <v>270</v>
      </c>
      <c r="F6" s="2" t="s">
        <v>339</v>
      </c>
      <c r="H6" s="6"/>
      <c r="I6" s="6"/>
      <c r="J6" s="4">
        <v>4</v>
      </c>
      <c r="K6" s="5"/>
      <c r="L6" s="11">
        <v>6</v>
      </c>
    </row>
    <row r="7" spans="1:12" x14ac:dyDescent="0.35">
      <c r="A7" s="13" t="s">
        <v>262</v>
      </c>
      <c r="B7" s="2" t="s">
        <v>30</v>
      </c>
      <c r="C7" s="2">
        <v>1</v>
      </c>
      <c r="D7" s="2" t="s">
        <v>252</v>
      </c>
      <c r="E7" s="2" t="s">
        <v>271</v>
      </c>
      <c r="F7" s="2" t="s">
        <v>340</v>
      </c>
      <c r="H7" s="4" t="s">
        <v>257</v>
      </c>
      <c r="I7" s="5"/>
      <c r="J7" s="5"/>
      <c r="K7" s="5"/>
      <c r="L7" s="11">
        <v>24</v>
      </c>
    </row>
    <row r="8" spans="1:12" x14ac:dyDescent="0.35">
      <c r="A8" s="13" t="s">
        <v>262</v>
      </c>
      <c r="B8" s="2" t="s">
        <v>34</v>
      </c>
      <c r="C8" s="2">
        <v>2</v>
      </c>
      <c r="D8" s="2" t="s">
        <v>252</v>
      </c>
      <c r="E8" s="2" t="s">
        <v>272</v>
      </c>
      <c r="F8" s="2" t="s">
        <v>341</v>
      </c>
      <c r="H8" s="4" t="s">
        <v>253</v>
      </c>
      <c r="I8" s="4" t="s">
        <v>262</v>
      </c>
      <c r="J8" s="4">
        <v>5</v>
      </c>
      <c r="K8" s="5"/>
      <c r="L8" s="11">
        <v>6</v>
      </c>
    </row>
    <row r="9" spans="1:12" x14ac:dyDescent="0.35">
      <c r="A9" s="13" t="s">
        <v>262</v>
      </c>
      <c r="B9" s="2" t="s">
        <v>38</v>
      </c>
      <c r="C9" s="2">
        <v>2</v>
      </c>
      <c r="D9" s="2" t="s">
        <v>252</v>
      </c>
      <c r="E9" s="2" t="s">
        <v>273</v>
      </c>
      <c r="F9" s="2" t="s">
        <v>342</v>
      </c>
      <c r="H9" s="6"/>
      <c r="I9" s="6"/>
      <c r="J9" s="4">
        <v>6</v>
      </c>
      <c r="K9" s="5"/>
      <c r="L9" s="11">
        <v>6</v>
      </c>
    </row>
    <row r="10" spans="1:12" x14ac:dyDescent="0.35">
      <c r="A10" s="13" t="s">
        <v>262</v>
      </c>
      <c r="B10" s="2" t="s">
        <v>42</v>
      </c>
      <c r="C10" s="2">
        <v>2</v>
      </c>
      <c r="D10" s="2" t="s">
        <v>252</v>
      </c>
      <c r="E10" s="2" t="s">
        <v>274</v>
      </c>
      <c r="F10" s="2" t="s">
        <v>343</v>
      </c>
      <c r="H10" s="6"/>
      <c r="I10" s="4" t="s">
        <v>263</v>
      </c>
      <c r="J10" s="4">
        <v>7</v>
      </c>
      <c r="K10" s="5"/>
      <c r="L10" s="11">
        <v>5</v>
      </c>
    </row>
    <row r="11" spans="1:12" x14ac:dyDescent="0.35">
      <c r="A11" s="13" t="s">
        <v>262</v>
      </c>
      <c r="B11" s="2" t="s">
        <v>46</v>
      </c>
      <c r="C11" s="2">
        <v>2</v>
      </c>
      <c r="D11" s="2" t="s">
        <v>252</v>
      </c>
      <c r="E11" s="2" t="s">
        <v>275</v>
      </c>
      <c r="F11" s="2" t="s">
        <v>344</v>
      </c>
      <c r="H11" s="6"/>
      <c r="I11" s="6"/>
      <c r="J11" s="4">
        <v>8</v>
      </c>
      <c r="K11" s="5"/>
      <c r="L11" s="11">
        <v>5</v>
      </c>
    </row>
    <row r="12" spans="1:12" x14ac:dyDescent="0.35">
      <c r="A12" s="13" t="s">
        <v>262</v>
      </c>
      <c r="B12" s="2" t="s">
        <v>50</v>
      </c>
      <c r="C12" s="2">
        <v>2</v>
      </c>
      <c r="D12" s="2" t="s">
        <v>252</v>
      </c>
      <c r="E12" s="2" t="s">
        <v>276</v>
      </c>
      <c r="F12" s="2" t="s">
        <v>345</v>
      </c>
      <c r="H12" s="4" t="s">
        <v>258</v>
      </c>
      <c r="I12" s="5"/>
      <c r="J12" s="5"/>
      <c r="K12" s="5"/>
      <c r="L12" s="11">
        <v>22</v>
      </c>
    </row>
    <row r="13" spans="1:12" x14ac:dyDescent="0.35">
      <c r="A13" s="13" t="s">
        <v>262</v>
      </c>
      <c r="B13" s="2" t="s">
        <v>54</v>
      </c>
      <c r="C13" s="2">
        <v>2</v>
      </c>
      <c r="D13" s="2" t="s">
        <v>252</v>
      </c>
      <c r="E13" s="2" t="s">
        <v>277</v>
      </c>
      <c r="F13" s="2" t="s">
        <v>346</v>
      </c>
      <c r="H13" s="4" t="s">
        <v>254</v>
      </c>
      <c r="I13" s="4" t="s">
        <v>263</v>
      </c>
      <c r="J13" s="4">
        <v>9</v>
      </c>
      <c r="K13" s="5"/>
      <c r="L13" s="11">
        <v>6</v>
      </c>
    </row>
    <row r="14" spans="1:12" x14ac:dyDescent="0.35">
      <c r="A14" s="13" t="s">
        <v>262</v>
      </c>
      <c r="B14" s="2" t="s">
        <v>58</v>
      </c>
      <c r="C14" s="2">
        <v>3</v>
      </c>
      <c r="D14" s="2" t="s">
        <v>252</v>
      </c>
      <c r="E14" s="2" t="s">
        <v>278</v>
      </c>
      <c r="F14" s="2" t="s">
        <v>347</v>
      </c>
      <c r="H14" s="6"/>
      <c r="I14" s="6"/>
      <c r="J14" s="4">
        <v>10</v>
      </c>
      <c r="K14" s="5"/>
      <c r="L14" s="11">
        <v>5</v>
      </c>
    </row>
    <row r="15" spans="1:12" x14ac:dyDescent="0.35">
      <c r="A15" s="13" t="s">
        <v>262</v>
      </c>
      <c r="B15" s="2" t="s">
        <v>62</v>
      </c>
      <c r="C15" s="2">
        <v>3</v>
      </c>
      <c r="D15" s="2" t="s">
        <v>252</v>
      </c>
      <c r="E15" s="2" t="s">
        <v>279</v>
      </c>
      <c r="F15" s="2" t="s">
        <v>348</v>
      </c>
      <c r="H15" s="6"/>
      <c r="I15" s="6"/>
      <c r="J15" s="4">
        <v>11</v>
      </c>
      <c r="K15" s="5"/>
      <c r="L15" s="11">
        <v>6</v>
      </c>
    </row>
    <row r="16" spans="1:12" x14ac:dyDescent="0.35">
      <c r="A16" s="13" t="s">
        <v>262</v>
      </c>
      <c r="B16" s="2" t="s">
        <v>66</v>
      </c>
      <c r="C16" s="2">
        <v>3</v>
      </c>
      <c r="D16" s="2" t="s">
        <v>252</v>
      </c>
      <c r="E16" s="2" t="s">
        <v>280</v>
      </c>
      <c r="F16" s="2" t="s">
        <v>349</v>
      </c>
      <c r="H16" s="6"/>
      <c r="I16" s="6"/>
      <c r="J16" s="4">
        <v>12</v>
      </c>
      <c r="K16" s="5"/>
      <c r="L16" s="11">
        <v>6</v>
      </c>
    </row>
    <row r="17" spans="1:12" x14ac:dyDescent="0.35">
      <c r="A17" s="13" t="s">
        <v>262</v>
      </c>
      <c r="B17" s="2" t="s">
        <v>70</v>
      </c>
      <c r="C17" s="2">
        <v>3</v>
      </c>
      <c r="D17" s="2" t="s">
        <v>252</v>
      </c>
      <c r="E17" s="2" t="s">
        <v>281</v>
      </c>
      <c r="F17" s="2" t="s">
        <v>350</v>
      </c>
      <c r="H17" s="4" t="s">
        <v>259</v>
      </c>
      <c r="I17" s="5"/>
      <c r="J17" s="5"/>
      <c r="K17" s="5"/>
      <c r="L17" s="11">
        <v>23</v>
      </c>
    </row>
    <row r="18" spans="1:12" x14ac:dyDescent="0.35">
      <c r="A18" s="13" t="s">
        <v>262</v>
      </c>
      <c r="B18" s="2" t="s">
        <v>74</v>
      </c>
      <c r="C18" s="2">
        <v>3</v>
      </c>
      <c r="D18" s="2" t="s">
        <v>252</v>
      </c>
      <c r="E18" s="2" t="s">
        <v>282</v>
      </c>
      <c r="F18" s="2" t="s">
        <v>351</v>
      </c>
      <c r="H18" s="8" t="s">
        <v>255</v>
      </c>
      <c r="I18" s="10"/>
      <c r="J18" s="10"/>
      <c r="K18" s="10"/>
      <c r="L18" s="12">
        <v>69</v>
      </c>
    </row>
    <row r="19" spans="1:12" x14ac:dyDescent="0.35">
      <c r="A19" s="13" t="s">
        <v>262</v>
      </c>
      <c r="B19" s="2" t="s">
        <v>78</v>
      </c>
      <c r="C19" s="2">
        <v>3</v>
      </c>
      <c r="D19" s="2" t="s">
        <v>252</v>
      </c>
      <c r="E19" s="2" t="s">
        <v>283</v>
      </c>
      <c r="F19" s="2" t="s">
        <v>352</v>
      </c>
    </row>
    <row r="20" spans="1:12" x14ac:dyDescent="0.35">
      <c r="A20" s="13" t="s">
        <v>262</v>
      </c>
      <c r="B20" s="2" t="s">
        <v>82</v>
      </c>
      <c r="C20" s="2">
        <v>4</v>
      </c>
      <c r="D20" s="2" t="s">
        <v>252</v>
      </c>
      <c r="E20" s="2" t="s">
        <v>284</v>
      </c>
      <c r="F20" s="2" t="s">
        <v>353</v>
      </c>
    </row>
    <row r="21" spans="1:12" x14ac:dyDescent="0.35">
      <c r="A21" s="13" t="s">
        <v>262</v>
      </c>
      <c r="B21" s="2" t="s">
        <v>86</v>
      </c>
      <c r="C21" s="2">
        <v>4</v>
      </c>
      <c r="D21" s="2" t="s">
        <v>252</v>
      </c>
      <c r="E21" s="2" t="s">
        <v>285</v>
      </c>
      <c r="F21" s="2" t="s">
        <v>354</v>
      </c>
    </row>
    <row r="22" spans="1:12" x14ac:dyDescent="0.35">
      <c r="A22" s="13" t="s">
        <v>262</v>
      </c>
      <c r="B22" s="2" t="s">
        <v>94</v>
      </c>
      <c r="C22" s="2">
        <v>4</v>
      </c>
      <c r="D22" s="2" t="s">
        <v>252</v>
      </c>
      <c r="E22" s="2" t="s">
        <v>286</v>
      </c>
      <c r="F22" s="2" t="s">
        <v>355</v>
      </c>
    </row>
    <row r="23" spans="1:12" x14ac:dyDescent="0.35">
      <c r="A23" s="13" t="s">
        <v>262</v>
      </c>
      <c r="B23" s="2" t="s">
        <v>98</v>
      </c>
      <c r="C23" s="2">
        <v>4</v>
      </c>
      <c r="D23" s="2" t="s">
        <v>252</v>
      </c>
      <c r="E23" s="2" t="s">
        <v>287</v>
      </c>
      <c r="F23" s="2" t="s">
        <v>356</v>
      </c>
    </row>
    <row r="24" spans="1:12" x14ac:dyDescent="0.35">
      <c r="A24" s="13" t="s">
        <v>262</v>
      </c>
      <c r="B24" s="2" t="s">
        <v>102</v>
      </c>
      <c r="C24" s="2">
        <v>4</v>
      </c>
      <c r="D24" s="2" t="s">
        <v>252</v>
      </c>
      <c r="E24" s="2" t="s">
        <v>288</v>
      </c>
      <c r="F24" s="2" t="s">
        <v>357</v>
      </c>
    </row>
    <row r="25" spans="1:12" x14ac:dyDescent="0.35">
      <c r="A25" s="13" t="s">
        <v>262</v>
      </c>
      <c r="B25" s="2" t="s">
        <v>106</v>
      </c>
      <c r="C25" s="2">
        <v>4</v>
      </c>
      <c r="D25" s="2" t="s">
        <v>252</v>
      </c>
      <c r="E25" s="2" t="s">
        <v>289</v>
      </c>
      <c r="F25" s="2" t="s">
        <v>358</v>
      </c>
    </row>
    <row r="26" spans="1:12" x14ac:dyDescent="0.35">
      <c r="A26" s="13" t="s">
        <v>262</v>
      </c>
      <c r="B26" s="2" t="s">
        <v>90</v>
      </c>
      <c r="C26" s="2">
        <v>5</v>
      </c>
      <c r="D26" s="2" t="s">
        <v>253</v>
      </c>
      <c r="E26" s="2" t="s">
        <v>290</v>
      </c>
      <c r="F26" s="2" t="s">
        <v>359</v>
      </c>
    </row>
    <row r="27" spans="1:12" x14ac:dyDescent="0.35">
      <c r="A27" s="13" t="s">
        <v>262</v>
      </c>
      <c r="B27" s="2" t="s">
        <v>110</v>
      </c>
      <c r="C27" s="2">
        <v>5</v>
      </c>
      <c r="D27" s="2" t="s">
        <v>253</v>
      </c>
      <c r="E27" s="2" t="s">
        <v>291</v>
      </c>
      <c r="F27" s="2" t="s">
        <v>360</v>
      </c>
    </row>
    <row r="28" spans="1:12" x14ac:dyDescent="0.35">
      <c r="A28" s="13" t="s">
        <v>262</v>
      </c>
      <c r="B28" s="2" t="s">
        <v>114</v>
      </c>
      <c r="C28" s="2">
        <v>5</v>
      </c>
      <c r="D28" s="2" t="s">
        <v>253</v>
      </c>
      <c r="E28" s="2" t="s">
        <v>292</v>
      </c>
      <c r="F28" s="2" t="s">
        <v>361</v>
      </c>
    </row>
    <row r="29" spans="1:12" x14ac:dyDescent="0.35">
      <c r="A29" s="13" t="s">
        <v>262</v>
      </c>
      <c r="B29" s="2" t="s">
        <v>118</v>
      </c>
      <c r="C29" s="2">
        <v>5</v>
      </c>
      <c r="D29" s="2" t="s">
        <v>253</v>
      </c>
      <c r="E29" s="2" t="s">
        <v>293</v>
      </c>
      <c r="F29" s="2" t="s">
        <v>362</v>
      </c>
    </row>
    <row r="30" spans="1:12" x14ac:dyDescent="0.35">
      <c r="A30" s="13" t="s">
        <v>262</v>
      </c>
      <c r="B30" s="2" t="s">
        <v>122</v>
      </c>
      <c r="C30" s="2">
        <v>5</v>
      </c>
      <c r="D30" s="2" t="s">
        <v>253</v>
      </c>
      <c r="E30" s="2" t="s">
        <v>294</v>
      </c>
      <c r="F30" s="2" t="s">
        <v>363</v>
      </c>
    </row>
    <row r="31" spans="1:12" x14ac:dyDescent="0.35">
      <c r="A31" s="13" t="s">
        <v>262</v>
      </c>
      <c r="B31" s="2" t="s">
        <v>126</v>
      </c>
      <c r="C31" s="2">
        <v>5</v>
      </c>
      <c r="D31" s="2" t="s">
        <v>253</v>
      </c>
      <c r="E31" s="2" t="s">
        <v>295</v>
      </c>
      <c r="F31" s="2" t="s">
        <v>364</v>
      </c>
    </row>
    <row r="32" spans="1:12" x14ac:dyDescent="0.35">
      <c r="A32" s="13" t="s">
        <v>262</v>
      </c>
      <c r="B32" s="2" t="s">
        <v>130</v>
      </c>
      <c r="C32" s="2">
        <v>6</v>
      </c>
      <c r="D32" s="2" t="s">
        <v>253</v>
      </c>
      <c r="E32" s="2" t="s">
        <v>296</v>
      </c>
      <c r="F32" s="2" t="s">
        <v>365</v>
      </c>
    </row>
    <row r="33" spans="1:6" x14ac:dyDescent="0.35">
      <c r="A33" s="13" t="s">
        <v>262</v>
      </c>
      <c r="B33" s="2" t="s">
        <v>134</v>
      </c>
      <c r="C33" s="2">
        <v>6</v>
      </c>
      <c r="D33" s="2" t="s">
        <v>253</v>
      </c>
      <c r="E33" s="2" t="s">
        <v>297</v>
      </c>
      <c r="F33" s="2" t="s">
        <v>366</v>
      </c>
    </row>
    <row r="34" spans="1:6" x14ac:dyDescent="0.35">
      <c r="A34" s="13" t="s">
        <v>262</v>
      </c>
      <c r="B34" s="2" t="s">
        <v>138</v>
      </c>
      <c r="C34" s="2">
        <v>6</v>
      </c>
      <c r="D34" s="2" t="s">
        <v>253</v>
      </c>
      <c r="E34" s="2" t="s">
        <v>298</v>
      </c>
      <c r="F34" s="2" t="s">
        <v>367</v>
      </c>
    </row>
    <row r="35" spans="1:6" x14ac:dyDescent="0.35">
      <c r="A35" s="13" t="s">
        <v>262</v>
      </c>
      <c r="B35" s="2" t="s">
        <v>142</v>
      </c>
      <c r="C35" s="2">
        <v>6</v>
      </c>
      <c r="D35" s="2" t="s">
        <v>253</v>
      </c>
      <c r="E35" s="2" t="s">
        <v>299</v>
      </c>
      <c r="F35" s="2" t="s">
        <v>368</v>
      </c>
    </row>
    <row r="36" spans="1:6" x14ac:dyDescent="0.35">
      <c r="A36" s="13" t="s">
        <v>262</v>
      </c>
      <c r="B36" s="2" t="s">
        <v>146</v>
      </c>
      <c r="C36" s="2">
        <v>6</v>
      </c>
      <c r="D36" s="2" t="s">
        <v>253</v>
      </c>
      <c r="E36" s="2" t="s">
        <v>300</v>
      </c>
      <c r="F36" s="2" t="s">
        <v>369</v>
      </c>
    </row>
    <row r="37" spans="1:6" x14ac:dyDescent="0.35">
      <c r="A37" s="13" t="s">
        <v>262</v>
      </c>
      <c r="B37" s="2" t="s">
        <v>150</v>
      </c>
      <c r="C37" s="2">
        <v>6</v>
      </c>
      <c r="D37" s="2" t="s">
        <v>253</v>
      </c>
      <c r="E37" s="2" t="s">
        <v>301</v>
      </c>
      <c r="F37" s="2"/>
    </row>
    <row r="38" spans="1:6" x14ac:dyDescent="0.35">
      <c r="A38" s="2" t="s">
        <v>263</v>
      </c>
      <c r="B38" s="2" t="s">
        <v>153</v>
      </c>
      <c r="C38" s="2">
        <v>7</v>
      </c>
      <c r="D38" s="2" t="s">
        <v>253</v>
      </c>
      <c r="E38" s="2" t="s">
        <v>302</v>
      </c>
      <c r="F38" s="2" t="s">
        <v>370</v>
      </c>
    </row>
    <row r="39" spans="1:6" x14ac:dyDescent="0.35">
      <c r="A39" s="2" t="s">
        <v>263</v>
      </c>
      <c r="B39" s="2" t="s">
        <v>156</v>
      </c>
      <c r="C39" s="2">
        <v>7</v>
      </c>
      <c r="D39" s="2" t="s">
        <v>253</v>
      </c>
      <c r="E39" s="2" t="s">
        <v>303</v>
      </c>
      <c r="F39" s="2" t="s">
        <v>371</v>
      </c>
    </row>
    <row r="40" spans="1:6" x14ac:dyDescent="0.35">
      <c r="A40" s="2" t="s">
        <v>263</v>
      </c>
      <c r="B40" s="2" t="s">
        <v>159</v>
      </c>
      <c r="C40" s="2">
        <v>7</v>
      </c>
      <c r="D40" s="2" t="s">
        <v>253</v>
      </c>
      <c r="E40" s="2" t="s">
        <v>304</v>
      </c>
      <c r="F40" s="2" t="s">
        <v>372</v>
      </c>
    </row>
    <row r="41" spans="1:6" x14ac:dyDescent="0.35">
      <c r="A41" s="2" t="s">
        <v>263</v>
      </c>
      <c r="B41" s="2" t="s">
        <v>162</v>
      </c>
      <c r="C41" s="2">
        <v>7</v>
      </c>
      <c r="D41" s="2" t="s">
        <v>253</v>
      </c>
      <c r="E41" s="2" t="s">
        <v>305</v>
      </c>
      <c r="F41" s="2" t="s">
        <v>373</v>
      </c>
    </row>
    <row r="42" spans="1:6" x14ac:dyDescent="0.35">
      <c r="A42" s="2" t="s">
        <v>263</v>
      </c>
      <c r="B42" s="2" t="s">
        <v>165</v>
      </c>
      <c r="C42" s="2">
        <v>7</v>
      </c>
      <c r="D42" s="2" t="s">
        <v>253</v>
      </c>
      <c r="E42" s="2" t="s">
        <v>306</v>
      </c>
      <c r="F42" s="2" t="s">
        <v>374</v>
      </c>
    </row>
    <row r="43" spans="1:6" x14ac:dyDescent="0.35">
      <c r="A43" s="2" t="s">
        <v>263</v>
      </c>
      <c r="B43" s="2" t="s">
        <v>168</v>
      </c>
      <c r="C43" s="15">
        <v>8</v>
      </c>
      <c r="D43" s="15" t="s">
        <v>253</v>
      </c>
      <c r="E43" s="15" t="s">
        <v>307</v>
      </c>
      <c r="F43" s="15" t="s">
        <v>375</v>
      </c>
    </row>
    <row r="44" spans="1:6" x14ac:dyDescent="0.35">
      <c r="A44" s="2" t="s">
        <v>263</v>
      </c>
      <c r="B44" s="2" t="s">
        <v>171</v>
      </c>
      <c r="C44" s="15">
        <v>8</v>
      </c>
      <c r="D44" s="15" t="s">
        <v>253</v>
      </c>
      <c r="E44" s="15" t="s">
        <v>308</v>
      </c>
      <c r="F44" s="15" t="s">
        <v>376</v>
      </c>
    </row>
    <row r="45" spans="1:6" x14ac:dyDescent="0.35">
      <c r="A45" s="2" t="s">
        <v>263</v>
      </c>
      <c r="B45" s="2" t="s">
        <v>174</v>
      </c>
      <c r="C45" s="15">
        <v>8</v>
      </c>
      <c r="D45" s="15" t="s">
        <v>253</v>
      </c>
      <c r="E45" s="15" t="s">
        <v>309</v>
      </c>
      <c r="F45" s="15" t="s">
        <v>377</v>
      </c>
    </row>
    <row r="46" spans="1:6" x14ac:dyDescent="0.35">
      <c r="A46" s="2" t="s">
        <v>263</v>
      </c>
      <c r="B46" s="2" t="s">
        <v>177</v>
      </c>
      <c r="C46" s="15">
        <v>8</v>
      </c>
      <c r="D46" s="15" t="s">
        <v>253</v>
      </c>
      <c r="E46" s="15" t="s">
        <v>310</v>
      </c>
      <c r="F46" s="15" t="s">
        <v>378</v>
      </c>
    </row>
    <row r="47" spans="1:6" x14ac:dyDescent="0.35">
      <c r="A47" s="2" t="s">
        <v>263</v>
      </c>
      <c r="B47" s="2" t="s">
        <v>180</v>
      </c>
      <c r="C47" s="15">
        <v>8</v>
      </c>
      <c r="D47" s="15" t="s">
        <v>253</v>
      </c>
      <c r="E47" s="15" t="s">
        <v>311</v>
      </c>
      <c r="F47" s="15" t="s">
        <v>379</v>
      </c>
    </row>
    <row r="48" spans="1:6" x14ac:dyDescent="0.35">
      <c r="A48" s="2" t="s">
        <v>263</v>
      </c>
      <c r="B48" s="2" t="s">
        <v>183</v>
      </c>
      <c r="C48" s="2">
        <v>9</v>
      </c>
      <c r="D48" s="2" t="s">
        <v>254</v>
      </c>
      <c r="E48" s="2" t="s">
        <v>312</v>
      </c>
      <c r="F48" s="2" t="s">
        <v>380</v>
      </c>
    </row>
    <row r="49" spans="1:6" x14ac:dyDescent="0.35">
      <c r="A49" s="2" t="s">
        <v>263</v>
      </c>
      <c r="B49" s="2" t="s">
        <v>261</v>
      </c>
      <c r="C49" s="2">
        <v>9</v>
      </c>
      <c r="D49" s="2" t="s">
        <v>254</v>
      </c>
      <c r="E49" s="2" t="s">
        <v>313</v>
      </c>
      <c r="F49" s="2" t="s">
        <v>381</v>
      </c>
    </row>
    <row r="50" spans="1:6" x14ac:dyDescent="0.35">
      <c r="A50" s="2" t="s">
        <v>263</v>
      </c>
      <c r="B50" s="2" t="s">
        <v>186</v>
      </c>
      <c r="C50" s="2">
        <v>9</v>
      </c>
      <c r="D50" s="2" t="s">
        <v>254</v>
      </c>
      <c r="E50" s="2" t="s">
        <v>314</v>
      </c>
      <c r="F50" s="2" t="s">
        <v>382</v>
      </c>
    </row>
    <row r="51" spans="1:6" x14ac:dyDescent="0.35">
      <c r="A51" s="2" t="s">
        <v>263</v>
      </c>
      <c r="B51" s="2" t="s">
        <v>189</v>
      </c>
      <c r="C51" s="2">
        <v>9</v>
      </c>
      <c r="D51" s="2" t="s">
        <v>254</v>
      </c>
      <c r="E51" s="2" t="s">
        <v>315</v>
      </c>
      <c r="F51" s="2" t="s">
        <v>383</v>
      </c>
    </row>
    <row r="52" spans="1:6" x14ac:dyDescent="0.35">
      <c r="A52" s="2" t="s">
        <v>263</v>
      </c>
      <c r="B52" s="2" t="s">
        <v>192</v>
      </c>
      <c r="C52" s="2">
        <v>9</v>
      </c>
      <c r="D52" s="2" t="s">
        <v>254</v>
      </c>
      <c r="E52" s="2" t="s">
        <v>316</v>
      </c>
      <c r="F52" s="2" t="s">
        <v>384</v>
      </c>
    </row>
    <row r="53" spans="1:6" x14ac:dyDescent="0.35">
      <c r="A53" s="2" t="s">
        <v>263</v>
      </c>
      <c r="B53" s="2" t="s">
        <v>195</v>
      </c>
      <c r="C53" s="2">
        <v>9</v>
      </c>
      <c r="D53" s="2" t="s">
        <v>254</v>
      </c>
      <c r="E53" s="2" t="s">
        <v>317</v>
      </c>
      <c r="F53" s="2" t="s">
        <v>385</v>
      </c>
    </row>
    <row r="54" spans="1:6" x14ac:dyDescent="0.35">
      <c r="A54" s="2" t="s">
        <v>263</v>
      </c>
      <c r="B54" s="2" t="s">
        <v>198</v>
      </c>
      <c r="C54" s="15">
        <v>10</v>
      </c>
      <c r="D54" s="15" t="s">
        <v>254</v>
      </c>
      <c r="E54" s="15" t="s">
        <v>318</v>
      </c>
      <c r="F54" s="15" t="s">
        <v>386</v>
      </c>
    </row>
    <row r="55" spans="1:6" x14ac:dyDescent="0.35">
      <c r="A55" s="2" t="s">
        <v>263</v>
      </c>
      <c r="B55" s="2" t="s">
        <v>201</v>
      </c>
      <c r="C55" s="15">
        <v>10</v>
      </c>
      <c r="D55" s="15" t="s">
        <v>254</v>
      </c>
      <c r="E55" s="15" t="s">
        <v>319</v>
      </c>
      <c r="F55" s="15" t="s">
        <v>387</v>
      </c>
    </row>
    <row r="56" spans="1:6" x14ac:dyDescent="0.35">
      <c r="A56" s="2" t="s">
        <v>263</v>
      </c>
      <c r="B56" s="2" t="s">
        <v>204</v>
      </c>
      <c r="C56" s="15">
        <v>10</v>
      </c>
      <c r="D56" s="15" t="s">
        <v>254</v>
      </c>
      <c r="E56" s="15" t="s">
        <v>320</v>
      </c>
      <c r="F56" s="15" t="s">
        <v>388</v>
      </c>
    </row>
    <row r="57" spans="1:6" x14ac:dyDescent="0.35">
      <c r="A57" s="2" t="s">
        <v>263</v>
      </c>
      <c r="B57" s="2" t="s">
        <v>207</v>
      </c>
      <c r="C57" s="15">
        <v>10</v>
      </c>
      <c r="D57" s="15" t="s">
        <v>254</v>
      </c>
      <c r="E57" s="15" t="s">
        <v>321</v>
      </c>
      <c r="F57" s="15" t="s">
        <v>389</v>
      </c>
    </row>
    <row r="58" spans="1:6" x14ac:dyDescent="0.35">
      <c r="A58" s="2" t="s">
        <v>263</v>
      </c>
      <c r="B58" s="2" t="s">
        <v>210</v>
      </c>
      <c r="C58" s="15">
        <v>10</v>
      </c>
      <c r="D58" s="15" t="s">
        <v>254</v>
      </c>
      <c r="E58" s="15" t="s">
        <v>322</v>
      </c>
      <c r="F58" s="15" t="s">
        <v>390</v>
      </c>
    </row>
    <row r="59" spans="1:6" x14ac:dyDescent="0.35">
      <c r="A59" s="2" t="s">
        <v>263</v>
      </c>
      <c r="B59" s="2" t="s">
        <v>213</v>
      </c>
      <c r="C59" s="2">
        <v>11</v>
      </c>
      <c r="D59" s="2" t="s">
        <v>254</v>
      </c>
      <c r="E59" s="2" t="s">
        <v>323</v>
      </c>
      <c r="F59" s="2" t="s">
        <v>391</v>
      </c>
    </row>
    <row r="60" spans="1:6" x14ac:dyDescent="0.35">
      <c r="A60" s="2" t="s">
        <v>263</v>
      </c>
      <c r="B60" s="2" t="s">
        <v>216</v>
      </c>
      <c r="C60" s="2">
        <v>11</v>
      </c>
      <c r="D60" s="2" t="s">
        <v>254</v>
      </c>
      <c r="E60" s="2" t="s">
        <v>324</v>
      </c>
      <c r="F60" s="2" t="s">
        <v>392</v>
      </c>
    </row>
    <row r="61" spans="1:6" x14ac:dyDescent="0.35">
      <c r="A61" s="2" t="s">
        <v>263</v>
      </c>
      <c r="B61" s="2" t="s">
        <v>219</v>
      </c>
      <c r="C61" s="2">
        <v>11</v>
      </c>
      <c r="D61" s="2" t="s">
        <v>254</v>
      </c>
      <c r="E61" s="2" t="s">
        <v>325</v>
      </c>
      <c r="F61" s="2" t="s">
        <v>393</v>
      </c>
    </row>
    <row r="62" spans="1:6" x14ac:dyDescent="0.35">
      <c r="A62" s="2" t="s">
        <v>263</v>
      </c>
      <c r="B62" s="2" t="s">
        <v>222</v>
      </c>
      <c r="C62" s="2">
        <v>11</v>
      </c>
      <c r="D62" s="2" t="s">
        <v>254</v>
      </c>
      <c r="E62" s="2" t="s">
        <v>326</v>
      </c>
      <c r="F62" s="2" t="s">
        <v>394</v>
      </c>
    </row>
    <row r="63" spans="1:6" x14ac:dyDescent="0.35">
      <c r="A63" s="2" t="s">
        <v>263</v>
      </c>
      <c r="B63" s="2" t="s">
        <v>225</v>
      </c>
      <c r="C63" s="2">
        <v>11</v>
      </c>
      <c r="D63" s="2" t="s">
        <v>254</v>
      </c>
      <c r="E63" s="2" t="s">
        <v>327</v>
      </c>
      <c r="F63" s="2" t="s">
        <v>395</v>
      </c>
    </row>
    <row r="64" spans="1:6" x14ac:dyDescent="0.35">
      <c r="A64" s="2" t="s">
        <v>263</v>
      </c>
      <c r="B64" s="2" t="s">
        <v>228</v>
      </c>
      <c r="C64" s="2">
        <v>11</v>
      </c>
      <c r="D64" s="2" t="s">
        <v>254</v>
      </c>
      <c r="E64" s="2" t="s">
        <v>328</v>
      </c>
      <c r="F64" s="2"/>
    </row>
    <row r="65" spans="1:6" x14ac:dyDescent="0.35">
      <c r="A65" s="2" t="s">
        <v>263</v>
      </c>
      <c r="B65" s="2" t="s">
        <v>230</v>
      </c>
      <c r="C65" s="15">
        <v>12</v>
      </c>
      <c r="D65" s="15" t="s">
        <v>254</v>
      </c>
      <c r="E65" s="15" t="s">
        <v>329</v>
      </c>
      <c r="F65" s="15" t="s">
        <v>396</v>
      </c>
    </row>
    <row r="66" spans="1:6" x14ac:dyDescent="0.35">
      <c r="A66" s="2" t="s">
        <v>263</v>
      </c>
      <c r="B66" s="2" t="s">
        <v>233</v>
      </c>
      <c r="C66" s="15">
        <v>12</v>
      </c>
      <c r="D66" s="15" t="s">
        <v>254</v>
      </c>
      <c r="E66" s="15" t="s">
        <v>330</v>
      </c>
      <c r="F66" s="15" t="s">
        <v>397</v>
      </c>
    </row>
    <row r="67" spans="1:6" x14ac:dyDescent="0.35">
      <c r="A67" s="2" t="s">
        <v>263</v>
      </c>
      <c r="B67" s="2" t="s">
        <v>236</v>
      </c>
      <c r="C67" s="15">
        <v>12</v>
      </c>
      <c r="D67" s="15" t="s">
        <v>254</v>
      </c>
      <c r="E67" s="15" t="s">
        <v>331</v>
      </c>
      <c r="F67" s="15" t="s">
        <v>398</v>
      </c>
    </row>
    <row r="68" spans="1:6" x14ac:dyDescent="0.35">
      <c r="A68" s="2" t="s">
        <v>263</v>
      </c>
      <c r="B68" s="2" t="s">
        <v>239</v>
      </c>
      <c r="C68" s="15">
        <v>12</v>
      </c>
      <c r="D68" s="15" t="s">
        <v>254</v>
      </c>
      <c r="E68" s="15" t="s">
        <v>332</v>
      </c>
      <c r="F68" s="15" t="s">
        <v>399</v>
      </c>
    </row>
    <row r="69" spans="1:6" x14ac:dyDescent="0.35">
      <c r="A69" s="2" t="s">
        <v>263</v>
      </c>
      <c r="B69" s="2" t="s">
        <v>242</v>
      </c>
      <c r="C69" s="15">
        <v>12</v>
      </c>
      <c r="D69" s="15" t="s">
        <v>254</v>
      </c>
      <c r="E69" s="15" t="s">
        <v>333</v>
      </c>
      <c r="F69" s="15" t="s">
        <v>400</v>
      </c>
    </row>
    <row r="70" spans="1:6" x14ac:dyDescent="0.35">
      <c r="A70" s="2" t="s">
        <v>263</v>
      </c>
      <c r="B70" s="2" t="s">
        <v>245</v>
      </c>
      <c r="C70" s="15">
        <v>12</v>
      </c>
      <c r="D70" s="15" t="s">
        <v>254</v>
      </c>
      <c r="E70" s="15" t="s">
        <v>334</v>
      </c>
      <c r="F70" s="15" t="s">
        <v>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showRuler="0" topLeftCell="D19" zoomScaleNormal="100" workbookViewId="0">
      <selection activeCell="F9" sqref="F9"/>
    </sheetView>
  </sheetViews>
  <sheetFormatPr baseColWidth="10" defaultColWidth="8.7265625" defaultRowHeight="14.5" x14ac:dyDescent="0.35"/>
  <cols>
    <col min="1" max="1" width="3.453125" customWidth="1"/>
    <col min="2" max="2" width="14" customWidth="1"/>
    <col min="3" max="3" width="36.453125" customWidth="1"/>
    <col min="4" max="4" width="10.54296875" customWidth="1"/>
    <col min="5" max="5" width="25.81640625" customWidth="1"/>
    <col min="6" max="6" width="68.26953125" customWidth="1"/>
    <col min="7" max="7" width="49.453125" customWidth="1"/>
  </cols>
  <sheetData>
    <row r="1" spans="1:8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248</v>
      </c>
    </row>
    <row r="2" spans="1:8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>
        <v>1</v>
      </c>
    </row>
    <row r="3" spans="1:8" x14ac:dyDescent="0.35">
      <c r="A3" s="2" t="s">
        <v>13</v>
      </c>
      <c r="B3" s="2" t="s">
        <v>7</v>
      </c>
      <c r="C3" s="2" t="s">
        <v>14</v>
      </c>
      <c r="D3" s="2" t="s">
        <v>9</v>
      </c>
      <c r="E3" s="2" t="s">
        <v>10</v>
      </c>
      <c r="F3" s="2" t="s">
        <v>15</v>
      </c>
      <c r="G3" s="2" t="s">
        <v>16</v>
      </c>
      <c r="H3">
        <v>1</v>
      </c>
    </row>
    <row r="4" spans="1:8" x14ac:dyDescent="0.35">
      <c r="A4" s="2" t="s">
        <v>17</v>
      </c>
      <c r="B4" s="2" t="s">
        <v>7</v>
      </c>
      <c r="C4" s="2" t="s">
        <v>18</v>
      </c>
      <c r="D4" s="2" t="s">
        <v>9</v>
      </c>
      <c r="E4" s="2" t="s">
        <v>10</v>
      </c>
      <c r="F4" s="2" t="s">
        <v>19</v>
      </c>
      <c r="G4" s="2" t="s">
        <v>20</v>
      </c>
      <c r="H4">
        <v>1</v>
      </c>
    </row>
    <row r="5" spans="1:8" x14ac:dyDescent="0.35">
      <c r="A5" s="2" t="s">
        <v>21</v>
      </c>
      <c r="B5" s="2" t="s">
        <v>7</v>
      </c>
      <c r="C5" s="2" t="s">
        <v>22</v>
      </c>
      <c r="D5" s="2" t="s">
        <v>9</v>
      </c>
      <c r="E5" s="2" t="s">
        <v>10</v>
      </c>
      <c r="F5" s="2" t="s">
        <v>23</v>
      </c>
      <c r="G5" s="2" t="s">
        <v>24</v>
      </c>
      <c r="H5">
        <v>1</v>
      </c>
    </row>
    <row r="6" spans="1:8" x14ac:dyDescent="0.35">
      <c r="A6" s="2" t="s">
        <v>25</v>
      </c>
      <c r="B6" s="2" t="s">
        <v>7</v>
      </c>
      <c r="C6" s="2" t="s">
        <v>26</v>
      </c>
      <c r="D6" s="2" t="s">
        <v>9</v>
      </c>
      <c r="E6" s="2" t="s">
        <v>10</v>
      </c>
      <c r="F6" s="2" t="s">
        <v>27</v>
      </c>
      <c r="G6" s="2" t="s">
        <v>28</v>
      </c>
      <c r="H6">
        <v>1</v>
      </c>
    </row>
    <row r="7" spans="1:8" x14ac:dyDescent="0.35">
      <c r="A7" s="2" t="s">
        <v>29</v>
      </c>
      <c r="B7" s="2" t="s">
        <v>7</v>
      </c>
      <c r="C7" s="2" t="s">
        <v>30</v>
      </c>
      <c r="D7" s="2" t="s">
        <v>9</v>
      </c>
      <c r="E7" s="2" t="s">
        <v>10</v>
      </c>
      <c r="F7" s="2" t="s">
        <v>31</v>
      </c>
      <c r="G7" s="2" t="s">
        <v>32</v>
      </c>
      <c r="H7">
        <f>IF(COUNTIF(H1:H6,H6)=6,H6+1,H6)</f>
        <v>1</v>
      </c>
    </row>
    <row r="8" spans="1:8" x14ac:dyDescent="0.35">
      <c r="A8" s="2" t="s">
        <v>33</v>
      </c>
      <c r="B8" s="2" t="s">
        <v>7</v>
      </c>
      <c r="C8" s="2" t="s">
        <v>34</v>
      </c>
      <c r="D8" s="2" t="s">
        <v>9</v>
      </c>
      <c r="E8" s="2" t="s">
        <v>10</v>
      </c>
      <c r="F8" s="2" t="s">
        <v>35</v>
      </c>
      <c r="G8" s="2" t="s">
        <v>36</v>
      </c>
      <c r="H8">
        <f t="shared" ref="H8:H37" si="0">IF(COUNTIF(H2:H7,H7)=6,H7+1,H7)</f>
        <v>2</v>
      </c>
    </row>
    <row r="9" spans="1:8" x14ac:dyDescent="0.35">
      <c r="A9" s="2" t="s">
        <v>37</v>
      </c>
      <c r="B9" s="2" t="s">
        <v>7</v>
      </c>
      <c r="C9" s="2" t="s">
        <v>38</v>
      </c>
      <c r="D9" s="2" t="s">
        <v>9</v>
      </c>
      <c r="E9" s="2" t="s">
        <v>10</v>
      </c>
      <c r="F9" s="2" t="s">
        <v>39</v>
      </c>
      <c r="G9" s="2" t="s">
        <v>40</v>
      </c>
      <c r="H9">
        <f t="shared" si="0"/>
        <v>2</v>
      </c>
    </row>
    <row r="10" spans="1:8" x14ac:dyDescent="0.35">
      <c r="A10" s="2" t="s">
        <v>41</v>
      </c>
      <c r="B10" s="2" t="s">
        <v>7</v>
      </c>
      <c r="C10" s="2" t="s">
        <v>42</v>
      </c>
      <c r="D10" s="2" t="s">
        <v>9</v>
      </c>
      <c r="E10" s="2" t="s">
        <v>10</v>
      </c>
      <c r="F10" s="2" t="s">
        <v>43</v>
      </c>
      <c r="G10" s="2" t="s">
        <v>44</v>
      </c>
      <c r="H10">
        <f t="shared" si="0"/>
        <v>2</v>
      </c>
    </row>
    <row r="11" spans="1:8" x14ac:dyDescent="0.35">
      <c r="A11" s="2" t="s">
        <v>45</v>
      </c>
      <c r="B11" s="2" t="s">
        <v>7</v>
      </c>
      <c r="C11" s="2" t="s">
        <v>46</v>
      </c>
      <c r="D11" s="2" t="s">
        <v>9</v>
      </c>
      <c r="E11" s="2" t="s">
        <v>10</v>
      </c>
      <c r="F11" s="2" t="s">
        <v>47</v>
      </c>
      <c r="G11" s="2" t="s">
        <v>48</v>
      </c>
      <c r="H11">
        <f t="shared" si="0"/>
        <v>2</v>
      </c>
    </row>
    <row r="12" spans="1:8" x14ac:dyDescent="0.35">
      <c r="A12" s="2" t="s">
        <v>49</v>
      </c>
      <c r="B12" s="2" t="s">
        <v>7</v>
      </c>
      <c r="C12" s="2" t="s">
        <v>50</v>
      </c>
      <c r="D12" s="2" t="s">
        <v>9</v>
      </c>
      <c r="E12" s="2" t="s">
        <v>10</v>
      </c>
      <c r="F12" s="2" t="s">
        <v>51</v>
      </c>
      <c r="G12" s="2" t="s">
        <v>52</v>
      </c>
      <c r="H12">
        <f t="shared" si="0"/>
        <v>2</v>
      </c>
    </row>
    <row r="13" spans="1:8" x14ac:dyDescent="0.35">
      <c r="A13" s="2" t="s">
        <v>53</v>
      </c>
      <c r="B13" s="2" t="s">
        <v>7</v>
      </c>
      <c r="C13" s="2" t="s">
        <v>54</v>
      </c>
      <c r="D13" s="2" t="s">
        <v>9</v>
      </c>
      <c r="E13" s="2" t="s">
        <v>10</v>
      </c>
      <c r="F13" s="2" t="s">
        <v>55</v>
      </c>
      <c r="G13" s="2" t="s">
        <v>56</v>
      </c>
      <c r="H13">
        <f t="shared" si="0"/>
        <v>2</v>
      </c>
    </row>
    <row r="14" spans="1:8" x14ac:dyDescent="0.35">
      <c r="A14" s="2" t="s">
        <v>57</v>
      </c>
      <c r="B14" s="2" t="s">
        <v>7</v>
      </c>
      <c r="C14" s="2" t="s">
        <v>58</v>
      </c>
      <c r="D14" s="2" t="s">
        <v>9</v>
      </c>
      <c r="E14" s="2" t="s">
        <v>10</v>
      </c>
      <c r="F14" s="2" t="s">
        <v>59</v>
      </c>
      <c r="G14" s="2" t="s">
        <v>60</v>
      </c>
      <c r="H14">
        <f t="shared" si="0"/>
        <v>3</v>
      </c>
    </row>
    <row r="15" spans="1:8" x14ac:dyDescent="0.35">
      <c r="A15" s="2" t="s">
        <v>61</v>
      </c>
      <c r="B15" s="2" t="s">
        <v>7</v>
      </c>
      <c r="C15" s="2" t="s">
        <v>62</v>
      </c>
      <c r="D15" s="2" t="s">
        <v>9</v>
      </c>
      <c r="E15" s="2" t="s">
        <v>10</v>
      </c>
      <c r="F15" s="2" t="s">
        <v>63</v>
      </c>
      <c r="G15" s="2" t="s">
        <v>64</v>
      </c>
      <c r="H15">
        <f t="shared" si="0"/>
        <v>3</v>
      </c>
    </row>
    <row r="16" spans="1:8" x14ac:dyDescent="0.35">
      <c r="A16" s="2" t="s">
        <v>65</v>
      </c>
      <c r="B16" s="2" t="s">
        <v>7</v>
      </c>
      <c r="C16" s="2" t="s">
        <v>66</v>
      </c>
      <c r="D16" s="2" t="s">
        <v>9</v>
      </c>
      <c r="E16" s="2" t="s">
        <v>10</v>
      </c>
      <c r="F16" s="2" t="s">
        <v>67</v>
      </c>
      <c r="G16" s="2" t="s">
        <v>68</v>
      </c>
      <c r="H16">
        <f t="shared" si="0"/>
        <v>3</v>
      </c>
    </row>
    <row r="17" spans="1:8" x14ac:dyDescent="0.35">
      <c r="A17" s="2" t="s">
        <v>69</v>
      </c>
      <c r="B17" s="2" t="s">
        <v>7</v>
      </c>
      <c r="C17" s="2" t="s">
        <v>70</v>
      </c>
      <c r="D17" s="2" t="s">
        <v>9</v>
      </c>
      <c r="E17" s="2" t="s">
        <v>10</v>
      </c>
      <c r="F17" s="2" t="s">
        <v>71</v>
      </c>
      <c r="G17" s="2" t="s">
        <v>72</v>
      </c>
      <c r="H17">
        <f t="shared" si="0"/>
        <v>3</v>
      </c>
    </row>
    <row r="18" spans="1:8" x14ac:dyDescent="0.35">
      <c r="A18" s="2" t="s">
        <v>73</v>
      </c>
      <c r="B18" s="2" t="s">
        <v>7</v>
      </c>
      <c r="C18" s="2" t="s">
        <v>74</v>
      </c>
      <c r="D18" s="2" t="s">
        <v>9</v>
      </c>
      <c r="E18" s="2" t="s">
        <v>10</v>
      </c>
      <c r="F18" s="2" t="s">
        <v>75</v>
      </c>
      <c r="G18" s="2" t="s">
        <v>76</v>
      </c>
      <c r="H18">
        <f t="shared" si="0"/>
        <v>3</v>
      </c>
    </row>
    <row r="19" spans="1:8" x14ac:dyDescent="0.35">
      <c r="A19" s="2" t="s">
        <v>77</v>
      </c>
      <c r="B19" s="2" t="s">
        <v>7</v>
      </c>
      <c r="C19" s="2" t="s">
        <v>78</v>
      </c>
      <c r="D19" s="2" t="s">
        <v>9</v>
      </c>
      <c r="E19" s="2" t="s">
        <v>10</v>
      </c>
      <c r="F19" s="2" t="s">
        <v>79</v>
      </c>
      <c r="G19" s="2" t="s">
        <v>80</v>
      </c>
      <c r="H19">
        <f t="shared" si="0"/>
        <v>3</v>
      </c>
    </row>
    <row r="20" spans="1:8" x14ac:dyDescent="0.35">
      <c r="A20" s="2" t="s">
        <v>81</v>
      </c>
      <c r="B20" s="2" t="s">
        <v>7</v>
      </c>
      <c r="C20" s="2" t="s">
        <v>82</v>
      </c>
      <c r="D20" s="2" t="s">
        <v>9</v>
      </c>
      <c r="E20" s="2" t="s">
        <v>10</v>
      </c>
      <c r="F20" s="2" t="s">
        <v>83</v>
      </c>
      <c r="G20" s="2" t="s">
        <v>84</v>
      </c>
      <c r="H20">
        <f t="shared" si="0"/>
        <v>4</v>
      </c>
    </row>
    <row r="21" spans="1:8" x14ac:dyDescent="0.35">
      <c r="A21" s="2" t="s">
        <v>85</v>
      </c>
      <c r="B21" s="2" t="s">
        <v>7</v>
      </c>
      <c r="C21" s="2" t="s">
        <v>86</v>
      </c>
      <c r="D21" s="2" t="s">
        <v>9</v>
      </c>
      <c r="E21" s="2" t="s">
        <v>10</v>
      </c>
      <c r="F21" s="2" t="s">
        <v>87</v>
      </c>
      <c r="G21" s="2" t="s">
        <v>88</v>
      </c>
      <c r="H21">
        <f t="shared" si="0"/>
        <v>4</v>
      </c>
    </row>
    <row r="22" spans="1:8" x14ac:dyDescent="0.35">
      <c r="A22" s="2" t="s">
        <v>89</v>
      </c>
      <c r="B22" s="2" t="s">
        <v>7</v>
      </c>
      <c r="C22" s="2" t="s">
        <v>90</v>
      </c>
      <c r="D22" s="2" t="s">
        <v>9</v>
      </c>
      <c r="E22" s="2" t="s">
        <v>10</v>
      </c>
      <c r="F22" s="2" t="s">
        <v>91</v>
      </c>
      <c r="G22" s="2" t="s">
        <v>92</v>
      </c>
      <c r="H22">
        <f t="shared" si="0"/>
        <v>4</v>
      </c>
    </row>
    <row r="23" spans="1:8" x14ac:dyDescent="0.35">
      <c r="A23" s="2" t="s">
        <v>93</v>
      </c>
      <c r="B23" s="2" t="s">
        <v>7</v>
      </c>
      <c r="C23" s="2" t="s">
        <v>94</v>
      </c>
      <c r="D23" s="2" t="s">
        <v>9</v>
      </c>
      <c r="E23" s="2" t="s">
        <v>10</v>
      </c>
      <c r="F23" s="2" t="s">
        <v>95</v>
      </c>
      <c r="G23" s="2" t="s">
        <v>96</v>
      </c>
      <c r="H23">
        <f t="shared" si="0"/>
        <v>4</v>
      </c>
    </row>
    <row r="24" spans="1:8" x14ac:dyDescent="0.35">
      <c r="A24" s="2" t="s">
        <v>97</v>
      </c>
      <c r="B24" s="2" t="s">
        <v>7</v>
      </c>
      <c r="C24" s="2" t="s">
        <v>98</v>
      </c>
      <c r="D24" s="2" t="s">
        <v>9</v>
      </c>
      <c r="E24" s="2" t="s">
        <v>10</v>
      </c>
      <c r="F24" s="2" t="s">
        <v>99</v>
      </c>
      <c r="G24" s="2" t="s">
        <v>100</v>
      </c>
      <c r="H24">
        <f t="shared" si="0"/>
        <v>4</v>
      </c>
    </row>
    <row r="25" spans="1:8" x14ac:dyDescent="0.35">
      <c r="A25" s="2" t="s">
        <v>101</v>
      </c>
      <c r="B25" s="2" t="s">
        <v>7</v>
      </c>
      <c r="C25" s="2" t="s">
        <v>102</v>
      </c>
      <c r="D25" s="2" t="s">
        <v>9</v>
      </c>
      <c r="E25" s="2" t="s">
        <v>10</v>
      </c>
      <c r="F25" s="2" t="s">
        <v>103</v>
      </c>
      <c r="G25" s="2" t="s">
        <v>104</v>
      </c>
      <c r="H25">
        <f t="shared" si="0"/>
        <v>4</v>
      </c>
    </row>
    <row r="26" spans="1:8" x14ac:dyDescent="0.35">
      <c r="A26" s="2" t="s">
        <v>105</v>
      </c>
      <c r="B26" s="2" t="s">
        <v>7</v>
      </c>
      <c r="C26" s="2" t="s">
        <v>106</v>
      </c>
      <c r="D26" s="2" t="s">
        <v>9</v>
      </c>
      <c r="E26" s="2" t="s">
        <v>10</v>
      </c>
      <c r="F26" s="2" t="s">
        <v>107</v>
      </c>
      <c r="G26" s="2" t="s">
        <v>108</v>
      </c>
      <c r="H26">
        <f t="shared" si="0"/>
        <v>5</v>
      </c>
    </row>
    <row r="27" spans="1:8" x14ac:dyDescent="0.35">
      <c r="A27" s="2" t="s">
        <v>109</v>
      </c>
      <c r="B27" s="2" t="s">
        <v>7</v>
      </c>
      <c r="C27" s="2" t="s">
        <v>110</v>
      </c>
      <c r="D27" s="2" t="s">
        <v>9</v>
      </c>
      <c r="E27" s="2" t="s">
        <v>10</v>
      </c>
      <c r="F27" s="2" t="s">
        <v>111</v>
      </c>
      <c r="G27" s="2" t="s">
        <v>112</v>
      </c>
      <c r="H27">
        <f t="shared" si="0"/>
        <v>5</v>
      </c>
    </row>
    <row r="28" spans="1:8" x14ac:dyDescent="0.35">
      <c r="A28" s="2" t="s">
        <v>113</v>
      </c>
      <c r="B28" s="2" t="s">
        <v>7</v>
      </c>
      <c r="C28" s="2" t="s">
        <v>114</v>
      </c>
      <c r="D28" s="2" t="s">
        <v>9</v>
      </c>
      <c r="E28" s="2" t="s">
        <v>10</v>
      </c>
      <c r="F28" s="2" t="s">
        <v>115</v>
      </c>
      <c r="G28" s="2" t="s">
        <v>116</v>
      </c>
      <c r="H28">
        <f t="shared" si="0"/>
        <v>5</v>
      </c>
    </row>
    <row r="29" spans="1:8" x14ac:dyDescent="0.35">
      <c r="A29" s="2" t="s">
        <v>117</v>
      </c>
      <c r="B29" s="2" t="s">
        <v>7</v>
      </c>
      <c r="C29" s="2" t="s">
        <v>118</v>
      </c>
      <c r="D29" s="2" t="s">
        <v>9</v>
      </c>
      <c r="E29" s="2" t="s">
        <v>10</v>
      </c>
      <c r="F29" s="2" t="s">
        <v>119</v>
      </c>
      <c r="G29" s="2" t="s">
        <v>120</v>
      </c>
      <c r="H29">
        <f t="shared" si="0"/>
        <v>5</v>
      </c>
    </row>
    <row r="30" spans="1:8" x14ac:dyDescent="0.35">
      <c r="A30" s="2" t="s">
        <v>121</v>
      </c>
      <c r="B30" s="2" t="s">
        <v>7</v>
      </c>
      <c r="C30" s="2" t="s">
        <v>122</v>
      </c>
      <c r="D30" s="2" t="s">
        <v>9</v>
      </c>
      <c r="E30" s="2" t="s">
        <v>10</v>
      </c>
      <c r="F30" s="2" t="s">
        <v>123</v>
      </c>
      <c r="G30" s="2" t="s">
        <v>124</v>
      </c>
      <c r="H30">
        <f t="shared" si="0"/>
        <v>5</v>
      </c>
    </row>
    <row r="31" spans="1:8" x14ac:dyDescent="0.35">
      <c r="A31" s="2" t="s">
        <v>125</v>
      </c>
      <c r="B31" s="2" t="s">
        <v>7</v>
      </c>
      <c r="C31" s="2" t="s">
        <v>126</v>
      </c>
      <c r="D31" s="2" t="s">
        <v>9</v>
      </c>
      <c r="E31" s="2" t="s">
        <v>10</v>
      </c>
      <c r="F31" s="2" t="s">
        <v>127</v>
      </c>
      <c r="G31" s="2" t="s">
        <v>128</v>
      </c>
      <c r="H31">
        <f t="shared" si="0"/>
        <v>5</v>
      </c>
    </row>
    <row r="32" spans="1:8" x14ac:dyDescent="0.35">
      <c r="A32" s="2" t="s">
        <v>129</v>
      </c>
      <c r="B32" s="2" t="s">
        <v>7</v>
      </c>
      <c r="C32" s="2" t="s">
        <v>130</v>
      </c>
      <c r="D32" s="2" t="s">
        <v>9</v>
      </c>
      <c r="E32" s="2" t="s">
        <v>10</v>
      </c>
      <c r="F32" s="2" t="s">
        <v>131</v>
      </c>
      <c r="G32" s="2" t="s">
        <v>132</v>
      </c>
      <c r="H32">
        <f t="shared" si="0"/>
        <v>6</v>
      </c>
    </row>
    <row r="33" spans="1:8" x14ac:dyDescent="0.35">
      <c r="A33" s="2" t="s">
        <v>133</v>
      </c>
      <c r="B33" s="2" t="s">
        <v>7</v>
      </c>
      <c r="C33" s="2" t="s">
        <v>134</v>
      </c>
      <c r="D33" s="2" t="s">
        <v>9</v>
      </c>
      <c r="E33" s="2" t="s">
        <v>10</v>
      </c>
      <c r="F33" s="2" t="s">
        <v>135</v>
      </c>
      <c r="G33" s="2" t="s">
        <v>136</v>
      </c>
      <c r="H33">
        <f t="shared" si="0"/>
        <v>6</v>
      </c>
    </row>
    <row r="34" spans="1:8" x14ac:dyDescent="0.35">
      <c r="A34" s="2" t="s">
        <v>137</v>
      </c>
      <c r="B34" s="2" t="s">
        <v>7</v>
      </c>
      <c r="C34" s="2" t="s">
        <v>138</v>
      </c>
      <c r="D34" s="2" t="s">
        <v>9</v>
      </c>
      <c r="E34" s="2" t="s">
        <v>10</v>
      </c>
      <c r="F34" s="2" t="s">
        <v>139</v>
      </c>
      <c r="G34" s="2" t="s">
        <v>140</v>
      </c>
      <c r="H34">
        <f t="shared" si="0"/>
        <v>6</v>
      </c>
    </row>
    <row r="35" spans="1:8" x14ac:dyDescent="0.35">
      <c r="A35" s="2" t="s">
        <v>141</v>
      </c>
      <c r="B35" s="2" t="s">
        <v>7</v>
      </c>
      <c r="C35" s="2" t="s">
        <v>142</v>
      </c>
      <c r="D35" s="2" t="s">
        <v>9</v>
      </c>
      <c r="E35" s="2" t="s">
        <v>10</v>
      </c>
      <c r="F35" s="2" t="s">
        <v>143</v>
      </c>
      <c r="G35" s="2" t="s">
        <v>144</v>
      </c>
      <c r="H35">
        <f t="shared" si="0"/>
        <v>6</v>
      </c>
    </row>
    <row r="36" spans="1:8" x14ac:dyDescent="0.35">
      <c r="A36" s="2" t="s">
        <v>145</v>
      </c>
      <c r="B36" s="2" t="s">
        <v>7</v>
      </c>
      <c r="C36" s="2" t="s">
        <v>146</v>
      </c>
      <c r="D36" s="2" t="s">
        <v>9</v>
      </c>
      <c r="E36" s="2" t="s">
        <v>10</v>
      </c>
      <c r="F36" s="2" t="s">
        <v>147</v>
      </c>
      <c r="G36" s="2" t="s">
        <v>148</v>
      </c>
      <c r="H36">
        <f t="shared" si="0"/>
        <v>6</v>
      </c>
    </row>
    <row r="37" spans="1:8" x14ac:dyDescent="0.35">
      <c r="A37" s="2" t="s">
        <v>149</v>
      </c>
      <c r="B37" s="2" t="s">
        <v>7</v>
      </c>
      <c r="C37" s="2" t="s">
        <v>150</v>
      </c>
      <c r="D37" s="2" t="s">
        <v>9</v>
      </c>
      <c r="E37" s="2" t="s">
        <v>10</v>
      </c>
      <c r="F37" s="2" t="s">
        <v>151</v>
      </c>
      <c r="G37" s="2"/>
      <c r="H37">
        <f t="shared" si="0"/>
        <v>6</v>
      </c>
    </row>
    <row r="38" spans="1:8" x14ac:dyDescent="0.35">
      <c r="A38" s="28" t="s">
        <v>152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38"/>
  </mergeCells>
  <pageMargins left="0.7" right="0.7" top="0.75" bottom="0.75" header="0.3" footer="0.3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opLeftCell="F15" workbookViewId="0">
      <selection activeCell="H2" sqref="H2:H33"/>
    </sheetView>
  </sheetViews>
  <sheetFormatPr baseColWidth="10" defaultColWidth="8.7265625" defaultRowHeight="14.5" x14ac:dyDescent="0.35"/>
  <cols>
    <col min="1" max="1" width="2.81640625" bestFit="1" customWidth="1"/>
    <col min="2" max="2" width="9.1796875" bestFit="1" customWidth="1"/>
    <col min="3" max="3" width="28" bestFit="1" customWidth="1"/>
    <col min="4" max="4" width="8.6328125" bestFit="1" customWidth="1"/>
    <col min="5" max="5" width="20.7265625" bestFit="1" customWidth="1"/>
    <col min="6" max="6" width="51.90625" bestFit="1" customWidth="1"/>
    <col min="7" max="7" width="35.7265625" bestFit="1" customWidth="1"/>
  </cols>
  <sheetData>
    <row r="1" spans="1:8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249</v>
      </c>
    </row>
    <row r="2" spans="1:8" x14ac:dyDescent="0.35">
      <c r="A2" s="2" t="s">
        <v>6</v>
      </c>
      <c r="B2" s="2" t="s">
        <v>7</v>
      </c>
      <c r="C2" s="2" t="s">
        <v>153</v>
      </c>
      <c r="D2" s="2" t="s">
        <v>9</v>
      </c>
      <c r="E2" s="2" t="s">
        <v>10</v>
      </c>
      <c r="F2" s="2" t="s">
        <v>154</v>
      </c>
      <c r="G2" s="2" t="s">
        <v>155</v>
      </c>
      <c r="H2">
        <v>7</v>
      </c>
    </row>
    <row r="3" spans="1:8" x14ac:dyDescent="0.35">
      <c r="A3" s="2" t="s">
        <v>13</v>
      </c>
      <c r="B3" s="2" t="s">
        <v>7</v>
      </c>
      <c r="C3" s="2" t="s">
        <v>156</v>
      </c>
      <c r="D3" s="2" t="s">
        <v>9</v>
      </c>
      <c r="E3" s="2" t="s">
        <v>10</v>
      </c>
      <c r="F3" s="2" t="s">
        <v>157</v>
      </c>
      <c r="G3" s="2" t="s">
        <v>158</v>
      </c>
      <c r="H3">
        <v>7</v>
      </c>
    </row>
    <row r="4" spans="1:8" x14ac:dyDescent="0.35">
      <c r="A4" s="2" t="s">
        <v>17</v>
      </c>
      <c r="B4" s="2" t="s">
        <v>7</v>
      </c>
      <c r="C4" s="2" t="s">
        <v>159</v>
      </c>
      <c r="D4" s="2" t="s">
        <v>9</v>
      </c>
      <c r="E4" s="2" t="s">
        <v>10</v>
      </c>
      <c r="F4" s="2" t="s">
        <v>160</v>
      </c>
      <c r="G4" s="2" t="s">
        <v>161</v>
      </c>
      <c r="H4">
        <v>7</v>
      </c>
    </row>
    <row r="5" spans="1:8" x14ac:dyDescent="0.35">
      <c r="A5" s="2" t="s">
        <v>21</v>
      </c>
      <c r="B5" s="2" t="s">
        <v>7</v>
      </c>
      <c r="C5" s="2" t="s">
        <v>162</v>
      </c>
      <c r="D5" s="2" t="s">
        <v>9</v>
      </c>
      <c r="E5" s="2" t="s">
        <v>10</v>
      </c>
      <c r="F5" s="2" t="s">
        <v>163</v>
      </c>
      <c r="G5" s="2" t="s">
        <v>164</v>
      </c>
      <c r="H5">
        <v>7</v>
      </c>
    </row>
    <row r="6" spans="1:8" x14ac:dyDescent="0.35">
      <c r="A6" s="2" t="s">
        <v>25</v>
      </c>
      <c r="B6" s="2" t="s">
        <v>7</v>
      </c>
      <c r="C6" s="2" t="s">
        <v>165</v>
      </c>
      <c r="D6" s="2" t="s">
        <v>9</v>
      </c>
      <c r="E6" s="2" t="s">
        <v>10</v>
      </c>
      <c r="F6" s="2" t="s">
        <v>166</v>
      </c>
      <c r="G6" s="2" t="s">
        <v>167</v>
      </c>
      <c r="H6">
        <f>IF(COUNTIF(H1:H5,H5)=5,H5+1,H5)</f>
        <v>7</v>
      </c>
    </row>
    <row r="7" spans="1:8" x14ac:dyDescent="0.35">
      <c r="A7" s="2" t="s">
        <v>29</v>
      </c>
      <c r="B7" s="2" t="s">
        <v>7</v>
      </c>
      <c r="C7" s="2" t="s">
        <v>168</v>
      </c>
      <c r="D7" s="2" t="s">
        <v>9</v>
      </c>
      <c r="E7" s="2" t="s">
        <v>10</v>
      </c>
      <c r="F7" s="2" t="s">
        <v>169</v>
      </c>
      <c r="G7" s="2" t="s">
        <v>170</v>
      </c>
      <c r="H7">
        <f t="shared" ref="H7:H25" si="0">IF(COUNTIF(H2:H6,H6)=5,H6+1,H6)</f>
        <v>8</v>
      </c>
    </row>
    <row r="8" spans="1:8" x14ac:dyDescent="0.35">
      <c r="A8" s="2" t="s">
        <v>33</v>
      </c>
      <c r="B8" s="2" t="s">
        <v>7</v>
      </c>
      <c r="C8" s="2" t="s">
        <v>171</v>
      </c>
      <c r="D8" s="2" t="s">
        <v>9</v>
      </c>
      <c r="E8" s="2" t="s">
        <v>10</v>
      </c>
      <c r="F8" s="2" t="s">
        <v>172</v>
      </c>
      <c r="G8" s="2" t="s">
        <v>173</v>
      </c>
      <c r="H8">
        <f t="shared" si="0"/>
        <v>8</v>
      </c>
    </row>
    <row r="9" spans="1:8" x14ac:dyDescent="0.35">
      <c r="A9" s="2" t="s">
        <v>37</v>
      </c>
      <c r="B9" s="2" t="s">
        <v>7</v>
      </c>
      <c r="C9" s="2" t="s">
        <v>174</v>
      </c>
      <c r="D9" s="2" t="s">
        <v>9</v>
      </c>
      <c r="E9" s="2" t="s">
        <v>10</v>
      </c>
      <c r="F9" s="2" t="s">
        <v>175</v>
      </c>
      <c r="G9" s="2" t="s">
        <v>176</v>
      </c>
      <c r="H9">
        <f t="shared" si="0"/>
        <v>8</v>
      </c>
    </row>
    <row r="10" spans="1:8" x14ac:dyDescent="0.35">
      <c r="A10" s="2" t="s">
        <v>41</v>
      </c>
      <c r="B10" s="2" t="s">
        <v>7</v>
      </c>
      <c r="C10" s="2" t="s">
        <v>177</v>
      </c>
      <c r="D10" s="2" t="s">
        <v>9</v>
      </c>
      <c r="E10" s="2" t="s">
        <v>10</v>
      </c>
      <c r="F10" s="2" t="s">
        <v>178</v>
      </c>
      <c r="G10" s="2" t="s">
        <v>179</v>
      </c>
      <c r="H10">
        <f t="shared" si="0"/>
        <v>8</v>
      </c>
    </row>
    <row r="11" spans="1:8" x14ac:dyDescent="0.35">
      <c r="A11" s="2" t="s">
        <v>45</v>
      </c>
      <c r="B11" s="2" t="s">
        <v>7</v>
      </c>
      <c r="C11" s="2" t="s">
        <v>180</v>
      </c>
      <c r="D11" s="2" t="s">
        <v>9</v>
      </c>
      <c r="E11" s="2" t="s">
        <v>10</v>
      </c>
      <c r="F11" s="2" t="s">
        <v>181</v>
      </c>
      <c r="G11" s="2" t="s">
        <v>182</v>
      </c>
      <c r="H11">
        <f t="shared" si="0"/>
        <v>8</v>
      </c>
    </row>
    <row r="12" spans="1:8" x14ac:dyDescent="0.35">
      <c r="A12" s="2" t="s">
        <v>49</v>
      </c>
      <c r="B12" s="2" t="s">
        <v>7</v>
      </c>
      <c r="C12" s="2" t="s">
        <v>183</v>
      </c>
      <c r="D12" s="2" t="s">
        <v>9</v>
      </c>
      <c r="E12" s="2" t="s">
        <v>10</v>
      </c>
      <c r="F12" s="2" t="s">
        <v>184</v>
      </c>
      <c r="G12" s="2" t="s">
        <v>185</v>
      </c>
      <c r="H12">
        <f t="shared" si="0"/>
        <v>9</v>
      </c>
    </row>
    <row r="13" spans="1:8" x14ac:dyDescent="0.35">
      <c r="A13" s="2" t="s">
        <v>53</v>
      </c>
      <c r="B13" s="2" t="s">
        <v>7</v>
      </c>
      <c r="C13" s="2" t="s">
        <v>186</v>
      </c>
      <c r="D13" s="2" t="s">
        <v>9</v>
      </c>
      <c r="E13" s="2" t="s">
        <v>10</v>
      </c>
      <c r="F13" s="2" t="s">
        <v>187</v>
      </c>
      <c r="G13" s="2" t="s">
        <v>188</v>
      </c>
      <c r="H13">
        <f t="shared" si="0"/>
        <v>9</v>
      </c>
    </row>
    <row r="14" spans="1:8" x14ac:dyDescent="0.35">
      <c r="A14" s="2" t="s">
        <v>57</v>
      </c>
      <c r="B14" s="2" t="s">
        <v>7</v>
      </c>
      <c r="C14" s="2" t="s">
        <v>189</v>
      </c>
      <c r="D14" s="2" t="s">
        <v>9</v>
      </c>
      <c r="E14" s="2" t="s">
        <v>10</v>
      </c>
      <c r="F14" s="2" t="s">
        <v>190</v>
      </c>
      <c r="G14" s="2" t="s">
        <v>191</v>
      </c>
      <c r="H14">
        <f t="shared" si="0"/>
        <v>9</v>
      </c>
    </row>
    <row r="15" spans="1:8" x14ac:dyDescent="0.35">
      <c r="A15" s="2" t="s">
        <v>61</v>
      </c>
      <c r="B15" s="2" t="s">
        <v>7</v>
      </c>
      <c r="C15" s="2" t="s">
        <v>192</v>
      </c>
      <c r="D15" s="2" t="s">
        <v>9</v>
      </c>
      <c r="E15" s="2" t="s">
        <v>10</v>
      </c>
      <c r="F15" s="2" t="s">
        <v>193</v>
      </c>
      <c r="G15" s="2" t="s">
        <v>194</v>
      </c>
      <c r="H15">
        <f t="shared" si="0"/>
        <v>9</v>
      </c>
    </row>
    <row r="16" spans="1:8" x14ac:dyDescent="0.35">
      <c r="A16" s="2" t="s">
        <v>65</v>
      </c>
      <c r="B16" s="2" t="s">
        <v>7</v>
      </c>
      <c r="C16" s="2" t="s">
        <v>195</v>
      </c>
      <c r="D16" s="2" t="s">
        <v>9</v>
      </c>
      <c r="E16" s="2" t="s">
        <v>10</v>
      </c>
      <c r="F16" s="2" t="s">
        <v>196</v>
      </c>
      <c r="G16" s="2" t="s">
        <v>197</v>
      </c>
      <c r="H16">
        <f t="shared" si="0"/>
        <v>9</v>
      </c>
    </row>
    <row r="17" spans="1:8" x14ac:dyDescent="0.35">
      <c r="A17" s="2" t="s">
        <v>69</v>
      </c>
      <c r="B17" s="2" t="s">
        <v>7</v>
      </c>
      <c r="C17" s="2" t="s">
        <v>198</v>
      </c>
      <c r="D17" s="2" t="s">
        <v>9</v>
      </c>
      <c r="E17" s="2" t="s">
        <v>10</v>
      </c>
      <c r="F17" s="2" t="s">
        <v>199</v>
      </c>
      <c r="G17" s="2" t="s">
        <v>200</v>
      </c>
      <c r="H17">
        <f t="shared" si="0"/>
        <v>10</v>
      </c>
    </row>
    <row r="18" spans="1:8" x14ac:dyDescent="0.35">
      <c r="A18" s="2" t="s">
        <v>73</v>
      </c>
      <c r="B18" s="2" t="s">
        <v>7</v>
      </c>
      <c r="C18" s="2" t="s">
        <v>201</v>
      </c>
      <c r="D18" s="2" t="s">
        <v>9</v>
      </c>
      <c r="E18" s="2" t="s">
        <v>10</v>
      </c>
      <c r="F18" s="2" t="s">
        <v>202</v>
      </c>
      <c r="G18" s="2" t="s">
        <v>203</v>
      </c>
      <c r="H18">
        <f t="shared" si="0"/>
        <v>10</v>
      </c>
    </row>
    <row r="19" spans="1:8" x14ac:dyDescent="0.35">
      <c r="A19" s="2" t="s">
        <v>77</v>
      </c>
      <c r="B19" s="2" t="s">
        <v>7</v>
      </c>
      <c r="C19" s="2" t="s">
        <v>204</v>
      </c>
      <c r="D19" s="2" t="s">
        <v>9</v>
      </c>
      <c r="E19" s="2" t="s">
        <v>10</v>
      </c>
      <c r="F19" s="2" t="s">
        <v>205</v>
      </c>
      <c r="G19" s="2" t="s">
        <v>206</v>
      </c>
      <c r="H19">
        <f t="shared" si="0"/>
        <v>10</v>
      </c>
    </row>
    <row r="20" spans="1:8" x14ac:dyDescent="0.35">
      <c r="A20" s="2" t="s">
        <v>81</v>
      </c>
      <c r="B20" s="2" t="s">
        <v>7</v>
      </c>
      <c r="C20" s="2" t="s">
        <v>207</v>
      </c>
      <c r="D20" s="2" t="s">
        <v>9</v>
      </c>
      <c r="E20" s="2" t="s">
        <v>10</v>
      </c>
      <c r="F20" s="2" t="s">
        <v>208</v>
      </c>
      <c r="G20" s="2" t="s">
        <v>209</v>
      </c>
      <c r="H20">
        <f t="shared" si="0"/>
        <v>10</v>
      </c>
    </row>
    <row r="21" spans="1:8" x14ac:dyDescent="0.35">
      <c r="A21" s="2" t="s">
        <v>85</v>
      </c>
      <c r="B21" s="2" t="s">
        <v>7</v>
      </c>
      <c r="C21" s="2" t="s">
        <v>210</v>
      </c>
      <c r="D21" s="2" t="s">
        <v>9</v>
      </c>
      <c r="E21" s="2" t="s">
        <v>10</v>
      </c>
      <c r="F21" s="2" t="s">
        <v>211</v>
      </c>
      <c r="G21" s="2" t="s">
        <v>212</v>
      </c>
      <c r="H21">
        <f t="shared" si="0"/>
        <v>10</v>
      </c>
    </row>
    <row r="22" spans="1:8" x14ac:dyDescent="0.35">
      <c r="A22" s="2" t="s">
        <v>89</v>
      </c>
      <c r="B22" s="2" t="s">
        <v>7</v>
      </c>
      <c r="C22" s="2" t="s">
        <v>213</v>
      </c>
      <c r="D22" s="2" t="s">
        <v>9</v>
      </c>
      <c r="E22" s="2" t="s">
        <v>10</v>
      </c>
      <c r="F22" s="2" t="s">
        <v>214</v>
      </c>
      <c r="G22" s="2" t="s">
        <v>215</v>
      </c>
      <c r="H22">
        <f t="shared" si="0"/>
        <v>11</v>
      </c>
    </row>
    <row r="23" spans="1:8" x14ac:dyDescent="0.35">
      <c r="A23" s="2" t="s">
        <v>93</v>
      </c>
      <c r="B23" s="2" t="s">
        <v>7</v>
      </c>
      <c r="C23" s="2" t="s">
        <v>216</v>
      </c>
      <c r="D23" s="2" t="s">
        <v>9</v>
      </c>
      <c r="E23" s="2" t="s">
        <v>10</v>
      </c>
      <c r="F23" s="2" t="s">
        <v>217</v>
      </c>
      <c r="G23" s="2" t="s">
        <v>218</v>
      </c>
      <c r="H23">
        <f t="shared" si="0"/>
        <v>11</v>
      </c>
    </row>
    <row r="24" spans="1:8" x14ac:dyDescent="0.35">
      <c r="A24" s="2" t="s">
        <v>97</v>
      </c>
      <c r="B24" s="2" t="s">
        <v>7</v>
      </c>
      <c r="C24" s="2" t="s">
        <v>219</v>
      </c>
      <c r="D24" s="2" t="s">
        <v>9</v>
      </c>
      <c r="E24" s="2" t="s">
        <v>10</v>
      </c>
      <c r="F24" s="2" t="s">
        <v>220</v>
      </c>
      <c r="G24" s="2" t="s">
        <v>221</v>
      </c>
      <c r="H24">
        <f t="shared" si="0"/>
        <v>11</v>
      </c>
    </row>
    <row r="25" spans="1:8" x14ac:dyDescent="0.35">
      <c r="A25" s="2" t="s">
        <v>101</v>
      </c>
      <c r="B25" s="2" t="s">
        <v>7</v>
      </c>
      <c r="C25" s="2" t="s">
        <v>222</v>
      </c>
      <c r="D25" s="2" t="s">
        <v>9</v>
      </c>
      <c r="E25" s="2" t="s">
        <v>10</v>
      </c>
      <c r="F25" s="2" t="s">
        <v>223</v>
      </c>
      <c r="G25" s="2" t="s">
        <v>224</v>
      </c>
      <c r="H25">
        <f t="shared" si="0"/>
        <v>11</v>
      </c>
    </row>
    <row r="26" spans="1:8" x14ac:dyDescent="0.35">
      <c r="A26" s="2" t="s">
        <v>105</v>
      </c>
      <c r="B26" s="2" t="s">
        <v>7</v>
      </c>
      <c r="C26" s="2" t="s">
        <v>225</v>
      </c>
      <c r="D26" s="2" t="s">
        <v>9</v>
      </c>
      <c r="E26" s="2" t="s">
        <v>10</v>
      </c>
      <c r="F26" s="2" t="s">
        <v>226</v>
      </c>
      <c r="G26" s="2" t="s">
        <v>227</v>
      </c>
      <c r="H26">
        <f>IF(COUNTIF(H20:H25,H25)=6,H25+1,H25)</f>
        <v>11</v>
      </c>
    </row>
    <row r="27" spans="1:8" x14ac:dyDescent="0.35">
      <c r="A27" s="2" t="s">
        <v>109</v>
      </c>
      <c r="B27" s="2" t="s">
        <v>7</v>
      </c>
      <c r="C27" s="2" t="s">
        <v>228</v>
      </c>
      <c r="D27" s="2" t="s">
        <v>9</v>
      </c>
      <c r="E27" s="2" t="s">
        <v>10</v>
      </c>
      <c r="F27" s="2" t="s">
        <v>229</v>
      </c>
      <c r="G27" s="2" t="s">
        <v>7</v>
      </c>
      <c r="H27">
        <f t="shared" ref="H27:H33" si="1">IF(COUNTIF(H21:H26,H26)=6,H26+1,H26)</f>
        <v>11</v>
      </c>
    </row>
    <row r="28" spans="1:8" x14ac:dyDescent="0.35">
      <c r="A28" s="2" t="s">
        <v>113</v>
      </c>
      <c r="B28" s="2" t="s">
        <v>7</v>
      </c>
      <c r="C28" s="2" t="s">
        <v>230</v>
      </c>
      <c r="D28" s="2" t="s">
        <v>9</v>
      </c>
      <c r="E28" s="2" t="s">
        <v>10</v>
      </c>
      <c r="F28" s="2" t="s">
        <v>231</v>
      </c>
      <c r="G28" s="2" t="s">
        <v>232</v>
      </c>
      <c r="H28">
        <f t="shared" si="1"/>
        <v>12</v>
      </c>
    </row>
    <row r="29" spans="1:8" x14ac:dyDescent="0.35">
      <c r="A29" s="2" t="s">
        <v>117</v>
      </c>
      <c r="B29" s="2" t="s">
        <v>7</v>
      </c>
      <c r="C29" s="2" t="s">
        <v>233</v>
      </c>
      <c r="D29" s="2" t="s">
        <v>9</v>
      </c>
      <c r="E29" s="2" t="s">
        <v>10</v>
      </c>
      <c r="F29" s="2" t="s">
        <v>234</v>
      </c>
      <c r="G29" s="2" t="s">
        <v>235</v>
      </c>
      <c r="H29">
        <f t="shared" si="1"/>
        <v>12</v>
      </c>
    </row>
    <row r="30" spans="1:8" x14ac:dyDescent="0.35">
      <c r="A30" s="2" t="s">
        <v>121</v>
      </c>
      <c r="B30" s="2" t="s">
        <v>7</v>
      </c>
      <c r="C30" s="2" t="s">
        <v>236</v>
      </c>
      <c r="D30" s="2" t="s">
        <v>9</v>
      </c>
      <c r="E30" s="2" t="s">
        <v>10</v>
      </c>
      <c r="F30" s="2" t="s">
        <v>237</v>
      </c>
      <c r="G30" s="2" t="s">
        <v>238</v>
      </c>
      <c r="H30">
        <f t="shared" si="1"/>
        <v>12</v>
      </c>
    </row>
    <row r="31" spans="1:8" x14ac:dyDescent="0.35">
      <c r="A31" s="2" t="s">
        <v>125</v>
      </c>
      <c r="B31" s="2" t="s">
        <v>7</v>
      </c>
      <c r="C31" s="2" t="s">
        <v>239</v>
      </c>
      <c r="D31" s="2" t="s">
        <v>9</v>
      </c>
      <c r="E31" s="2" t="s">
        <v>10</v>
      </c>
      <c r="F31" s="2" t="s">
        <v>240</v>
      </c>
      <c r="G31" s="2" t="s">
        <v>241</v>
      </c>
      <c r="H31">
        <f t="shared" si="1"/>
        <v>12</v>
      </c>
    </row>
    <row r="32" spans="1:8" x14ac:dyDescent="0.35">
      <c r="A32" s="2" t="s">
        <v>129</v>
      </c>
      <c r="B32" s="2" t="s">
        <v>7</v>
      </c>
      <c r="C32" s="2" t="s">
        <v>242</v>
      </c>
      <c r="D32" s="2" t="s">
        <v>9</v>
      </c>
      <c r="E32" s="2" t="s">
        <v>10</v>
      </c>
      <c r="F32" s="2" t="s">
        <v>243</v>
      </c>
      <c r="G32" s="2" t="s">
        <v>244</v>
      </c>
      <c r="H32">
        <f t="shared" si="1"/>
        <v>12</v>
      </c>
    </row>
    <row r="33" spans="1:8" x14ac:dyDescent="0.35">
      <c r="A33" s="2" t="s">
        <v>133</v>
      </c>
      <c r="B33" s="2" t="s">
        <v>7</v>
      </c>
      <c r="C33" s="2" t="s">
        <v>245</v>
      </c>
      <c r="D33" s="2" t="s">
        <v>9</v>
      </c>
      <c r="E33" s="2" t="s">
        <v>10</v>
      </c>
      <c r="F33" s="2" t="s">
        <v>246</v>
      </c>
      <c r="G33" s="2" t="s">
        <v>247</v>
      </c>
      <c r="H33">
        <f t="shared" si="1"/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205873B25E1D4D9F03FF82BC99DE4C" ma:contentTypeVersion="16" ma:contentTypeDescription="Create a new document." ma:contentTypeScope="" ma:versionID="1adb04a53ae4241758b0d966c7dc77a4">
  <xsd:schema xmlns:xsd="http://www.w3.org/2001/XMLSchema" xmlns:xs="http://www.w3.org/2001/XMLSchema" xmlns:p="http://schemas.microsoft.com/office/2006/metadata/properties" xmlns:ns3="78f922c3-e88a-4a28-9cfa-c20ef0a78e17" xmlns:ns4="04a24c48-66de-4656-9fd5-ae65135d8bf6" targetNamespace="http://schemas.microsoft.com/office/2006/metadata/properties" ma:root="true" ma:fieldsID="2f310be02e58af894a9cc1c9eb3e2860" ns3:_="" ns4:_="">
    <xsd:import namespace="78f922c3-e88a-4a28-9cfa-c20ef0a78e17"/>
    <xsd:import namespace="04a24c48-66de-4656-9fd5-ae65135d8b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922c3-e88a-4a28-9cfa-c20ef0a78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a24c48-66de-4656-9fd5-ae65135d8bf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8f922c3-e88a-4a28-9cfa-c20ef0a78e17" xsi:nil="true"/>
  </documentManagement>
</p:properties>
</file>

<file path=customXml/itemProps1.xml><?xml version="1.0" encoding="utf-8"?>
<ds:datastoreItem xmlns:ds="http://schemas.openxmlformats.org/officeDocument/2006/customXml" ds:itemID="{1EEB2F86-5D12-49DE-A7C5-3483218251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f922c3-e88a-4a28-9cfa-c20ef0a78e17"/>
    <ds:schemaRef ds:uri="04a24c48-66de-4656-9fd5-ae65135d8b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5F7B77-6E9D-4E5E-A6AB-C4FC80EEEA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E4F2E9-870A-4968-8DC6-29D562DD20B5}">
  <ds:schemaRefs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4a24c48-66de-4656-9fd5-ae65135d8bf6"/>
    <ds:schemaRef ds:uri="78f922c3-e88a-4a28-9cfa-c20ef0a78e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Listado para alumnos</vt:lpstr>
      <vt:lpstr>Listado total</vt:lpstr>
      <vt:lpstr>Comision Ind</vt:lpstr>
      <vt:lpstr>Comisión 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Moya Maria Angelica</cp:lastModifiedBy>
  <dcterms:created xsi:type="dcterms:W3CDTF">2025-08-06T18:18:24Z</dcterms:created>
  <dcterms:modified xsi:type="dcterms:W3CDTF">2025-08-11T19:35:04Z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0x0101006E205873B25E1D4D9F03FF82BC99DE4C</vt:lpwstr>
  </property>
</Properties>
</file>